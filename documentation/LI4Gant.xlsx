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trlProps/ctrlProp1.xml" ContentType="application/vnd.ms-excel.controlpropertie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filterPrivacy="1" codeName="ThisWorkbook"/>
  <xr:revisionPtr revIDLastSave="0" documentId="13_ncr:1_{1E8C7DA6-2568-2740-B15C-8C0DA929F8AB}" xr6:coauthVersionLast="47" xr6:coauthVersionMax="47" xr10:uidLastSave="{00000000-0000-0000-0000-000000000000}"/>
  <bookViews>
    <workbookView xWindow="-51200" yWindow="600" windowWidth="51200" windowHeight="26640" tabRatio="415" xr2:uid="{00000000-000D-0000-FFFF-FFFF00000000}"/>
  </bookViews>
  <sheets>
    <sheet name="Light" sheetId="17" r:id="rId1"/>
  </sheets>
  <definedNames>
    <definedName name="_xlnm.Print_Titles" localSheetId="0">Light!$6:$9</definedName>
    <definedName name="Project_Start" localSheetId="0">Light!$C$6</definedName>
    <definedName name="Project_Start">#REF!</definedName>
    <definedName name="Scrolling_Increment" localSheetId="0">Light!$C$7</definedName>
    <definedName name="Scrolling_Increment">#REF!</definedName>
    <definedName name="Today" localSheetId="0">TODAY()</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4" i="17" l="1"/>
  <c r="F23" i="17"/>
  <c r="F22" i="17"/>
  <c r="F21" i="17"/>
  <c r="F20" i="17"/>
  <c r="F19" i="17"/>
  <c r="F18" i="17"/>
  <c r="F17" i="17"/>
  <c r="F16" i="17"/>
  <c r="F15" i="17"/>
  <c r="F14" i="17"/>
  <c r="F13" i="17"/>
  <c r="F12" i="17"/>
  <c r="F26" i="17" s="1"/>
  <c r="F27" i="17" s="1"/>
  <c r="F28" i="17" s="1"/>
  <c r="F29" i="17" s="1"/>
  <c r="F35" i="17" l="1"/>
  <c r="F38" i="17" s="1"/>
  <c r="F39" i="17" s="1"/>
  <c r="F40" i="17" s="1"/>
  <c r="F30" i="17"/>
  <c r="F36" i="17"/>
  <c r="F32" i="17"/>
  <c r="F33" i="17" s="1"/>
  <c r="F34" i="17" s="1"/>
  <c r="C6" i="17" l="1" a="1"/>
  <c r="C6" i="17" s="1"/>
  <c r="I7" i="17" s="1"/>
  <c r="I24" i="17" l="1"/>
  <c r="I23" i="17"/>
  <c r="I22" i="17"/>
  <c r="I14" i="17"/>
  <c r="I21" i="17"/>
  <c r="I20" i="17"/>
  <c r="I19" i="17"/>
  <c r="I18" i="17"/>
  <c r="I16" i="17"/>
  <c r="I17" i="17"/>
  <c r="I47" i="17"/>
  <c r="J7" i="17"/>
  <c r="I9" i="17"/>
  <c r="I35" i="17"/>
  <c r="I39" i="17"/>
  <c r="I13" i="17"/>
  <c r="I11" i="17"/>
  <c r="I36" i="17"/>
  <c r="I41" i="17"/>
  <c r="I33" i="17"/>
  <c r="I34" i="17"/>
  <c r="I37" i="17"/>
  <c r="I38" i="17"/>
  <c r="I44" i="17"/>
  <c r="I43" i="17"/>
  <c r="I12" i="17"/>
  <c r="I29" i="17"/>
  <c r="I31" i="17"/>
  <c r="I42" i="17"/>
  <c r="I45" i="17"/>
  <c r="I6" i="17"/>
  <c r="I30" i="17"/>
  <c r="I46" i="17"/>
  <c r="I32" i="17"/>
  <c r="I40" i="17"/>
  <c r="J23" i="17" l="1"/>
  <c r="J22" i="17"/>
  <c r="J24" i="17"/>
  <c r="J14" i="17"/>
  <c r="J20" i="17"/>
  <c r="J21" i="17"/>
  <c r="J19" i="17"/>
  <c r="J18" i="17"/>
  <c r="J16" i="17"/>
  <c r="J17" i="17"/>
  <c r="J47" i="17"/>
  <c r="J40" i="17"/>
  <c r="J44" i="17"/>
  <c r="J38" i="17"/>
  <c r="J36" i="17"/>
  <c r="J32" i="17"/>
  <c r="J30" i="17"/>
  <c r="J45" i="17"/>
  <c r="K7" i="17"/>
  <c r="J29" i="17"/>
  <c r="J35" i="17"/>
  <c r="J41" i="17"/>
  <c r="J46" i="17"/>
  <c r="J9" i="17"/>
  <c r="J12" i="17"/>
  <c r="J33" i="17"/>
  <c r="J31" i="17"/>
  <c r="J42" i="17"/>
  <c r="J11" i="17"/>
  <c r="J13" i="17"/>
  <c r="J37" i="17"/>
  <c r="J34" i="17"/>
  <c r="J39" i="17"/>
  <c r="J43" i="17"/>
  <c r="K22" i="17" l="1"/>
  <c r="K24" i="17"/>
  <c r="K23" i="17"/>
  <c r="K14" i="17"/>
  <c r="K20" i="17"/>
  <c r="K21" i="17"/>
  <c r="K19" i="17"/>
  <c r="K18" i="17"/>
  <c r="K16" i="17"/>
  <c r="K17" i="17"/>
  <c r="K45" i="17"/>
  <c r="K47" i="17"/>
  <c r="K36" i="17"/>
  <c r="K30" i="17"/>
  <c r="K40" i="17"/>
  <c r="K9" i="17"/>
  <c r="K13" i="17"/>
  <c r="K43" i="17"/>
  <c r="K12" i="17"/>
  <c r="K34" i="17"/>
  <c r="K11" i="17"/>
  <c r="K33" i="17"/>
  <c r="K46" i="17"/>
  <c r="K32" i="17"/>
  <c r="K29" i="17"/>
  <c r="K42" i="17"/>
  <c r="K31" i="17"/>
  <c r="K37" i="17"/>
  <c r="K38" i="17"/>
  <c r="K35" i="17"/>
  <c r="K44" i="17"/>
  <c r="L7" i="17"/>
  <c r="K41" i="17"/>
  <c r="K39" i="17"/>
  <c r="L23" i="17" l="1"/>
  <c r="L22" i="17"/>
  <c r="L24" i="17"/>
  <c r="L14" i="17"/>
  <c r="L21" i="17"/>
  <c r="L20" i="17"/>
  <c r="L19" i="17"/>
  <c r="L18" i="17"/>
  <c r="L16" i="17"/>
  <c r="L17" i="17"/>
  <c r="L47" i="17"/>
  <c r="L34" i="17"/>
  <c r="L32" i="17"/>
  <c r="L38" i="17"/>
  <c r="L44" i="17"/>
  <c r="L13" i="17"/>
  <c r="M7" i="17"/>
  <c r="L29" i="17"/>
  <c r="L45" i="17"/>
  <c r="L31" i="17"/>
  <c r="L36" i="17"/>
  <c r="L41" i="17"/>
  <c r="L30" i="17"/>
  <c r="L9" i="17"/>
  <c r="L12" i="17"/>
  <c r="L37" i="17"/>
  <c r="L33" i="17"/>
  <c r="L42" i="17"/>
  <c r="L46" i="17"/>
  <c r="L11" i="17"/>
  <c r="L35" i="17"/>
  <c r="L39" i="17"/>
  <c r="L40" i="17"/>
  <c r="L43" i="17"/>
  <c r="M22" i="17" l="1"/>
  <c r="M23" i="17"/>
  <c r="M24" i="17"/>
  <c r="M14" i="17"/>
  <c r="M21" i="17"/>
  <c r="M20" i="17"/>
  <c r="M19" i="17"/>
  <c r="M18" i="17"/>
  <c r="M16" i="17"/>
  <c r="M17" i="17"/>
  <c r="M43" i="17"/>
  <c r="M47" i="17"/>
  <c r="M12" i="17"/>
  <c r="M33" i="17"/>
  <c r="M39" i="17"/>
  <c r="M30" i="17"/>
  <c r="M31" i="17"/>
  <c r="M46" i="17"/>
  <c r="M36" i="17"/>
  <c r="M40" i="17"/>
  <c r="M29" i="17"/>
  <c r="M38" i="17"/>
  <c r="M45" i="17"/>
  <c r="M32" i="17"/>
  <c r="M41" i="17"/>
  <c r="M9" i="17"/>
  <c r="M34" i="17"/>
  <c r="M42" i="17"/>
  <c r="N7" i="17"/>
  <c r="M13" i="17"/>
  <c r="M11" i="17"/>
  <c r="M35" i="17"/>
  <c r="M37" i="17"/>
  <c r="M44" i="17"/>
  <c r="N23" i="17" l="1"/>
  <c r="N22" i="17"/>
  <c r="N24" i="17"/>
  <c r="N14" i="17"/>
  <c r="N21" i="17"/>
  <c r="N20" i="17"/>
  <c r="N19" i="17"/>
  <c r="N18" i="17"/>
  <c r="N16" i="17"/>
  <c r="N17" i="17"/>
  <c r="N47" i="17"/>
  <c r="N11" i="17"/>
  <c r="N29" i="17"/>
  <c r="N33" i="17"/>
  <c r="N41" i="17"/>
  <c r="N35" i="17"/>
  <c r="N44" i="17"/>
  <c r="N37" i="17"/>
  <c r="O7" i="17"/>
  <c r="N38" i="17"/>
  <c r="N31" i="17"/>
  <c r="N45" i="17"/>
  <c r="N12" i="17"/>
  <c r="N40" i="17"/>
  <c r="N9" i="17"/>
  <c r="N13" i="17"/>
  <c r="N30" i="17"/>
  <c r="N36" i="17"/>
  <c r="N42" i="17"/>
  <c r="N46" i="17"/>
  <c r="N32" i="17"/>
  <c r="N34" i="17"/>
  <c r="N39" i="17"/>
  <c r="N43" i="17"/>
  <c r="O24" i="17" l="1"/>
  <c r="O23" i="17"/>
  <c r="O22" i="17"/>
  <c r="O14" i="17"/>
  <c r="O21" i="17"/>
  <c r="O20" i="17"/>
  <c r="O19" i="17"/>
  <c r="O18" i="17"/>
  <c r="O16" i="17"/>
  <c r="O17" i="17"/>
  <c r="O45" i="17"/>
  <c r="O12" i="17"/>
  <c r="O42" i="17"/>
  <c r="O46" i="17"/>
  <c r="O32" i="17"/>
  <c r="O9" i="17"/>
  <c r="O34" i="17"/>
  <c r="O11" i="17"/>
  <c r="O31" i="17"/>
  <c r="O37" i="17"/>
  <c r="O29" i="17"/>
  <c r="O35" i="17"/>
  <c r="O43" i="17"/>
  <c r="O47" i="17"/>
  <c r="O36" i="17"/>
  <c r="O38" i="17"/>
  <c r="O33" i="17"/>
  <c r="O41" i="17"/>
  <c r="O44" i="17"/>
  <c r="P7" i="17"/>
  <c r="O13" i="17"/>
  <c r="O40" i="17"/>
  <c r="O30" i="17"/>
  <c r="O39" i="17"/>
  <c r="P24" i="17" l="1"/>
  <c r="P23" i="17"/>
  <c r="P22" i="17"/>
  <c r="P14" i="17"/>
  <c r="P21" i="17"/>
  <c r="P20" i="17"/>
  <c r="P19" i="17"/>
  <c r="P18" i="17"/>
  <c r="P16" i="17"/>
  <c r="P17" i="17"/>
  <c r="P45" i="17"/>
  <c r="P42" i="17"/>
  <c r="P12" i="17"/>
  <c r="P46" i="17"/>
  <c r="P37" i="17"/>
  <c r="P35" i="17"/>
  <c r="P39" i="17"/>
  <c r="P15" i="17"/>
  <c r="P30" i="17"/>
  <c r="P31" i="17"/>
  <c r="P40" i="17"/>
  <c r="P43" i="17"/>
  <c r="P47" i="17"/>
  <c r="P34" i="17"/>
  <c r="P6" i="17"/>
  <c r="P9" i="17"/>
  <c r="P36" i="17"/>
  <c r="P29" i="17"/>
  <c r="P41" i="17"/>
  <c r="P44" i="17"/>
  <c r="P13" i="17"/>
  <c r="P11" i="17"/>
  <c r="Q7" i="17"/>
  <c r="P32" i="17"/>
  <c r="P33" i="17"/>
  <c r="P38" i="17"/>
  <c r="Q24" i="17" l="1"/>
  <c r="Q23" i="17"/>
  <c r="Q22" i="17"/>
  <c r="Q14" i="17"/>
  <c r="Q21" i="17"/>
  <c r="Q20" i="17"/>
  <c r="Q19" i="17"/>
  <c r="Q18" i="17"/>
  <c r="Q16" i="17"/>
  <c r="Q17" i="17"/>
  <c r="Q44" i="17"/>
  <c r="Q46" i="17"/>
  <c r="Q30" i="17"/>
  <c r="Q31" i="17"/>
  <c r="Q13" i="17"/>
  <c r="Q32" i="17"/>
  <c r="Q29" i="17"/>
  <c r="Q40" i="17"/>
  <c r="Q33" i="17"/>
  <c r="Q9" i="17"/>
  <c r="Q34" i="17"/>
  <c r="Q36" i="17"/>
  <c r="Q37" i="17"/>
  <c r="Q41" i="17"/>
  <c r="Q15" i="17"/>
  <c r="Q11" i="17"/>
  <c r="Q35" i="17"/>
  <c r="Q38" i="17"/>
  <c r="Q43" i="17"/>
  <c r="Q42" i="17"/>
  <c r="Q12" i="17"/>
  <c r="R7" i="17"/>
  <c r="Q47" i="17"/>
  <c r="Q45" i="17"/>
  <c r="Q39" i="17"/>
  <c r="R23" i="17" l="1"/>
  <c r="R22" i="17"/>
  <c r="R24" i="17"/>
  <c r="R14" i="17"/>
  <c r="R20" i="17"/>
  <c r="R21" i="17"/>
  <c r="R19" i="17"/>
  <c r="R18" i="17"/>
  <c r="R16" i="17"/>
  <c r="R17" i="17"/>
  <c r="R45" i="17"/>
  <c r="R33" i="17"/>
  <c r="R31" i="17"/>
  <c r="S7" i="17"/>
  <c r="R40" i="17"/>
  <c r="R13" i="17"/>
  <c r="R46" i="17"/>
  <c r="R11" i="17"/>
  <c r="R12" i="17"/>
  <c r="R15" i="17"/>
  <c r="R30" i="17"/>
  <c r="R36" i="17"/>
  <c r="R42" i="17"/>
  <c r="R47" i="17"/>
  <c r="R9" i="17"/>
  <c r="R37" i="17"/>
  <c r="R34" i="17"/>
  <c r="R38" i="17"/>
  <c r="R43" i="17"/>
  <c r="R32" i="17"/>
  <c r="R29" i="17"/>
  <c r="R35" i="17"/>
  <c r="R39" i="17"/>
  <c r="R44" i="17"/>
  <c r="R41" i="17"/>
  <c r="S22" i="17" l="1"/>
  <c r="S24" i="17"/>
  <c r="S23" i="17"/>
  <c r="S14" i="17"/>
  <c r="S20" i="17"/>
  <c r="S21" i="17"/>
  <c r="S19" i="17"/>
  <c r="S18" i="17"/>
  <c r="S16" i="17"/>
  <c r="S17" i="17"/>
  <c r="S44" i="17"/>
  <c r="S32" i="17"/>
  <c r="S42" i="17"/>
  <c r="S37" i="17"/>
  <c r="S39" i="17"/>
  <c r="T7" i="17"/>
  <c r="S15" i="17"/>
  <c r="S40" i="17"/>
  <c r="S45" i="17"/>
  <c r="S31" i="17"/>
  <c r="S12" i="17"/>
  <c r="S30" i="17"/>
  <c r="S46" i="17"/>
  <c r="S9" i="17"/>
  <c r="S29" i="17"/>
  <c r="S38" i="17"/>
  <c r="S13" i="17"/>
  <c r="S34" i="17"/>
  <c r="S43" i="17"/>
  <c r="S47" i="17"/>
  <c r="S11" i="17"/>
  <c r="S41" i="17"/>
  <c r="S36" i="17"/>
  <c r="S33" i="17"/>
  <c r="S35" i="17"/>
  <c r="T23" i="17" l="1"/>
  <c r="T24" i="17"/>
  <c r="T22" i="17"/>
  <c r="T14" i="17"/>
  <c r="T21" i="17"/>
  <c r="T20" i="17"/>
  <c r="T19" i="17"/>
  <c r="T18" i="17"/>
  <c r="T16" i="17"/>
  <c r="T17" i="17"/>
  <c r="T44" i="17"/>
  <c r="T30" i="17"/>
  <c r="T45" i="17"/>
  <c r="T29" i="17"/>
  <c r="T35" i="17"/>
  <c r="T38" i="17"/>
  <c r="T36" i="17"/>
  <c r="T39" i="17"/>
  <c r="T32" i="17"/>
  <c r="T33" i="17"/>
  <c r="T42" i="17"/>
  <c r="T46" i="17"/>
  <c r="T13" i="17"/>
  <c r="U7" i="17"/>
  <c r="T15" i="17"/>
  <c r="T9" i="17"/>
  <c r="T12" i="17"/>
  <c r="T37" i="17"/>
  <c r="T40" i="17"/>
  <c r="T43" i="17"/>
  <c r="T47" i="17"/>
  <c r="T31" i="17"/>
  <c r="T11" i="17"/>
  <c r="T34" i="17"/>
  <c r="T41" i="17"/>
  <c r="U22" i="17" l="1"/>
  <c r="U24" i="17"/>
  <c r="U23" i="17"/>
  <c r="U14" i="17"/>
  <c r="U20" i="17"/>
  <c r="U21" i="17"/>
  <c r="U19" i="17"/>
  <c r="U18" i="17"/>
  <c r="U16" i="17"/>
  <c r="U17" i="17"/>
  <c r="U42" i="17"/>
  <c r="U29" i="17"/>
  <c r="U31" i="17"/>
  <c r="U43" i="17"/>
  <c r="U47" i="17"/>
  <c r="U44" i="17"/>
  <c r="U11" i="17"/>
  <c r="U30" i="17"/>
  <c r="U36" i="17"/>
  <c r="U46" i="17"/>
  <c r="V7" i="17"/>
  <c r="U33" i="17"/>
  <c r="U34" i="17"/>
  <c r="U37" i="17"/>
  <c r="U40" i="17"/>
  <c r="U15" i="17"/>
  <c r="U38" i="17"/>
  <c r="U39" i="17"/>
  <c r="U41" i="17"/>
  <c r="U12" i="17"/>
  <c r="U13" i="17"/>
  <c r="U9" i="17"/>
  <c r="U35" i="17"/>
  <c r="U32" i="17"/>
  <c r="U45" i="17"/>
  <c r="V22" i="17" l="1"/>
  <c r="V24" i="17"/>
  <c r="V23" i="17"/>
  <c r="V14" i="17"/>
  <c r="V21" i="17"/>
  <c r="V20" i="17"/>
  <c r="V19" i="17"/>
  <c r="V18" i="17"/>
  <c r="V16" i="17"/>
  <c r="V17" i="17"/>
  <c r="V45" i="17"/>
  <c r="V11" i="17"/>
  <c r="V36" i="17"/>
  <c r="V34" i="17"/>
  <c r="V42" i="17"/>
  <c r="V46" i="17"/>
  <c r="V37" i="17"/>
  <c r="V15" i="17"/>
  <c r="W7" i="17"/>
  <c r="V40" i="17"/>
  <c r="V29" i="17"/>
  <c r="V35" i="17"/>
  <c r="V39" i="17"/>
  <c r="V43" i="17"/>
  <c r="V47" i="17"/>
  <c r="V13" i="17"/>
  <c r="V33" i="17"/>
  <c r="V38" i="17"/>
  <c r="V44" i="17"/>
  <c r="V9" i="17"/>
  <c r="V12" i="17"/>
  <c r="V32" i="17"/>
  <c r="V30" i="17"/>
  <c r="V31" i="17"/>
  <c r="V41" i="17"/>
  <c r="W24" i="17" l="1"/>
  <c r="W22" i="17"/>
  <c r="W23" i="17"/>
  <c r="W14" i="17"/>
  <c r="W21" i="17"/>
  <c r="W20" i="17"/>
  <c r="W19" i="17"/>
  <c r="W18" i="17"/>
  <c r="W16" i="17"/>
  <c r="W17" i="17"/>
  <c r="W43" i="17"/>
  <c r="W36" i="17"/>
  <c r="W15" i="17"/>
  <c r="W41" i="17"/>
  <c r="W29" i="17"/>
  <c r="W34" i="17"/>
  <c r="X7" i="17"/>
  <c r="W38" i="17"/>
  <c r="W11" i="17"/>
  <c r="W35" i="17"/>
  <c r="W31" i="17"/>
  <c r="W39" i="17"/>
  <c r="W42" i="17"/>
  <c r="W13" i="17"/>
  <c r="W32" i="17"/>
  <c r="W6" i="17"/>
  <c r="W44" i="17"/>
  <c r="W45" i="17"/>
  <c r="W30" i="17"/>
  <c r="W46" i="17"/>
  <c r="W9" i="17"/>
  <c r="W37" i="17"/>
  <c r="W40" i="17"/>
  <c r="W47" i="17"/>
  <c r="W12" i="17"/>
  <c r="W33" i="17"/>
  <c r="X24" i="17" l="1"/>
  <c r="X23" i="17"/>
  <c r="X22" i="17"/>
  <c r="X14" i="17"/>
  <c r="X21" i="17"/>
  <c r="X20" i="17"/>
  <c r="X19" i="17"/>
  <c r="X18" i="17"/>
  <c r="X16" i="17"/>
  <c r="X17" i="17"/>
  <c r="X44" i="17"/>
  <c r="X47" i="17"/>
  <c r="X45" i="17"/>
  <c r="X29" i="17"/>
  <c r="X43" i="17"/>
  <c r="X13" i="17"/>
  <c r="X42" i="17"/>
  <c r="X15" i="17"/>
  <c r="X34" i="17"/>
  <c r="X31" i="17"/>
  <c r="X39" i="17"/>
  <c r="X32" i="17"/>
  <c r="X11" i="17"/>
  <c r="X37" i="17"/>
  <c r="X46" i="17"/>
  <c r="X33" i="17"/>
  <c r="Y7" i="17"/>
  <c r="X40" i="17"/>
  <c r="X30" i="17"/>
  <c r="X12" i="17"/>
  <c r="X38" i="17"/>
  <c r="X9" i="17"/>
  <c r="X36" i="17"/>
  <c r="X41" i="17"/>
  <c r="X35" i="17"/>
  <c r="Y24" i="17" l="1"/>
  <c r="Y23" i="17"/>
  <c r="Y22" i="17"/>
  <c r="Y14" i="17"/>
  <c r="Y21" i="17"/>
  <c r="Y20" i="17"/>
  <c r="Y19" i="17"/>
  <c r="Y18" i="17"/>
  <c r="Y16" i="17"/>
  <c r="Y17" i="17"/>
  <c r="Y45" i="17"/>
  <c r="Y33" i="17"/>
  <c r="Y44" i="17"/>
  <c r="Y9" i="17"/>
  <c r="Y40" i="17"/>
  <c r="Y30" i="17"/>
  <c r="Y41" i="17"/>
  <c r="Y47" i="17"/>
  <c r="Y42" i="17"/>
  <c r="Y34" i="17"/>
  <c r="Y13" i="17"/>
  <c r="Y36" i="17"/>
  <c r="Y15" i="17"/>
  <c r="Y37" i="17"/>
  <c r="Y38" i="17"/>
  <c r="Y31" i="17"/>
  <c r="Y29" i="17"/>
  <c r="Y35" i="17"/>
  <c r="Y39" i="17"/>
  <c r="Y12" i="17"/>
  <c r="Y46" i="17"/>
  <c r="Y43" i="17"/>
  <c r="Y11" i="17"/>
  <c r="Z7" i="17"/>
  <c r="Y32" i="17"/>
  <c r="Z23" i="17" l="1"/>
  <c r="Z22" i="17"/>
  <c r="Z24" i="17"/>
  <c r="Z14" i="17"/>
  <c r="Z20" i="17"/>
  <c r="Z21" i="17"/>
  <c r="Z19" i="17"/>
  <c r="Z18" i="17"/>
  <c r="Z16" i="17"/>
  <c r="Z17" i="17"/>
  <c r="Z42" i="17"/>
  <c r="Z35" i="17"/>
  <c r="Z31" i="17"/>
  <c r="Z29" i="17"/>
  <c r="Z43" i="17"/>
  <c r="Z44" i="17"/>
  <c r="Z13" i="17"/>
  <c r="Z38" i="17"/>
  <c r="Z15" i="17"/>
  <c r="Z9" i="17"/>
  <c r="Z36" i="17"/>
  <c r="Z45" i="17"/>
  <c r="Z32" i="17"/>
  <c r="Z33" i="17"/>
  <c r="Z40" i="17"/>
  <c r="Z11" i="17"/>
  <c r="Z37" i="17"/>
  <c r="Z39" i="17"/>
  <c r="Z47" i="17"/>
  <c r="AA7" i="17"/>
  <c r="Z30" i="17"/>
  <c r="Z41" i="17"/>
  <c r="Z46" i="17"/>
  <c r="Z12" i="17"/>
  <c r="Z34" i="17"/>
  <c r="AA22" i="17" l="1"/>
  <c r="AA24" i="17"/>
  <c r="AA23" i="17"/>
  <c r="AA14" i="17"/>
  <c r="AA20" i="17"/>
  <c r="AA21" i="17"/>
  <c r="AA19" i="17"/>
  <c r="AA18" i="17"/>
  <c r="AA16" i="17"/>
  <c r="AA17" i="17"/>
  <c r="AA38" i="17"/>
  <c r="AA47" i="17"/>
  <c r="AA32" i="17"/>
  <c r="AA46" i="17"/>
  <c r="AA34" i="17"/>
  <c r="AA11" i="17"/>
  <c r="AA36" i="17"/>
  <c r="AA13" i="17"/>
  <c r="AA39" i="17"/>
  <c r="AA31" i="17"/>
  <c r="AA42" i="17"/>
  <c r="AA29" i="17"/>
  <c r="AA9" i="17"/>
  <c r="AA33" i="17"/>
  <c r="AA40" i="17"/>
  <c r="AA35" i="17"/>
  <c r="AB7" i="17"/>
  <c r="AA41" i="17"/>
  <c r="AA44" i="17"/>
  <c r="AA43" i="17"/>
  <c r="AA15" i="17"/>
  <c r="AA12" i="17"/>
  <c r="AA30" i="17"/>
  <c r="AA45" i="17"/>
  <c r="AA37" i="17"/>
  <c r="AB23" i="17" l="1"/>
  <c r="AB22" i="17"/>
  <c r="AB24" i="17"/>
  <c r="AB14" i="17"/>
  <c r="AB21" i="17"/>
  <c r="AB20" i="17"/>
  <c r="AB19" i="17"/>
  <c r="AB18" i="17"/>
  <c r="AB16" i="17"/>
  <c r="AB17" i="17"/>
  <c r="AB42" i="17"/>
  <c r="AB33" i="17"/>
  <c r="AB11" i="17"/>
  <c r="AB12" i="17"/>
  <c r="AB47" i="17"/>
  <c r="AB30" i="17"/>
  <c r="AB43" i="17"/>
  <c r="AB15" i="17"/>
  <c r="AB46" i="17"/>
  <c r="AB35" i="17"/>
  <c r="AB39" i="17"/>
  <c r="AB40" i="17"/>
  <c r="AB44" i="17"/>
  <c r="AB13" i="17"/>
  <c r="AC7" i="17"/>
  <c r="AB29" i="17"/>
  <c r="AB45" i="17"/>
  <c r="AB36" i="17"/>
  <c r="AB34" i="17"/>
  <c r="AB38" i="17"/>
  <c r="AB31" i="17"/>
  <c r="AB41" i="17"/>
  <c r="AB32" i="17"/>
  <c r="AB9" i="17"/>
  <c r="AB37" i="17"/>
  <c r="AC22" i="17" l="1"/>
  <c r="AC23" i="17"/>
  <c r="AC24" i="17"/>
  <c r="AC14" i="17"/>
  <c r="AC21" i="17"/>
  <c r="AC20" i="17"/>
  <c r="AC19" i="17"/>
  <c r="AC18" i="17"/>
  <c r="AC16" i="17"/>
  <c r="AC17" i="17"/>
  <c r="AC47" i="17"/>
  <c r="AC15" i="17"/>
  <c r="AC38" i="17"/>
  <c r="AC40" i="17"/>
  <c r="AC31" i="17"/>
  <c r="AC41" i="17"/>
  <c r="AC36" i="17"/>
  <c r="AC12" i="17"/>
  <c r="AC33" i="17"/>
  <c r="AC42" i="17"/>
  <c r="AC13" i="17"/>
  <c r="AC34" i="17"/>
  <c r="AC44" i="17"/>
  <c r="AC30" i="17"/>
  <c r="AC35" i="17"/>
  <c r="AC46" i="17"/>
  <c r="AD7" i="17"/>
  <c r="AC9" i="17"/>
  <c r="AC32" i="17"/>
  <c r="AC43" i="17"/>
  <c r="AC29" i="17"/>
  <c r="AC11" i="17"/>
  <c r="AC37" i="17"/>
  <c r="AC45" i="17"/>
  <c r="AC39" i="17"/>
  <c r="AD23" i="17" l="1"/>
  <c r="AD22" i="17"/>
  <c r="AD24" i="17"/>
  <c r="AD14" i="17"/>
  <c r="AD21" i="17"/>
  <c r="AD20" i="17"/>
  <c r="AD19" i="17"/>
  <c r="AD18" i="17"/>
  <c r="AD16" i="17"/>
  <c r="AD17" i="17"/>
  <c r="AD41" i="17"/>
  <c r="AD31" i="17"/>
  <c r="AD37" i="17"/>
  <c r="AD34" i="17"/>
  <c r="AD35" i="17"/>
  <c r="AD42" i="17"/>
  <c r="AD11" i="17"/>
  <c r="AD43" i="17"/>
  <c r="AD29" i="17"/>
  <c r="AD44" i="17"/>
  <c r="AD32" i="17"/>
  <c r="AD45" i="17"/>
  <c r="AD46" i="17"/>
  <c r="AD9" i="17"/>
  <c r="AD47" i="17"/>
  <c r="AD36" i="17"/>
  <c r="AD38" i="17"/>
  <c r="AD39" i="17"/>
  <c r="AD12" i="17"/>
  <c r="AD33" i="17"/>
  <c r="AD40" i="17"/>
  <c r="AD6" i="17"/>
  <c r="AD13" i="17"/>
  <c r="AE7" i="17"/>
  <c r="AD15" i="17"/>
  <c r="AD30" i="17"/>
  <c r="AE24" i="17" l="1"/>
  <c r="AE23" i="17"/>
  <c r="AE22" i="17"/>
  <c r="AE14" i="17"/>
  <c r="AE21" i="17"/>
  <c r="AE20" i="17"/>
  <c r="AE19" i="17"/>
  <c r="AE18" i="17"/>
  <c r="AE16" i="17"/>
  <c r="AE17" i="17"/>
  <c r="AE43" i="17"/>
  <c r="AE32" i="17"/>
  <c r="AE34" i="17"/>
  <c r="AE30" i="17"/>
  <c r="AE44" i="17"/>
  <c r="AE15" i="17"/>
  <c r="AE45" i="17"/>
  <c r="AE36" i="17"/>
  <c r="AE13" i="17"/>
  <c r="AE47" i="17"/>
  <c r="AE9" i="17"/>
  <c r="AE11" i="17"/>
  <c r="AE37" i="17"/>
  <c r="AE41" i="17"/>
  <c r="AE40" i="17"/>
  <c r="AE39" i="17"/>
  <c r="AE35" i="17"/>
  <c r="AE38" i="17"/>
  <c r="AE42" i="17"/>
  <c r="AE46" i="17"/>
  <c r="AF7" i="17"/>
  <c r="AE12" i="17"/>
  <c r="AE29" i="17"/>
  <c r="AE31" i="17"/>
  <c r="AE33" i="17"/>
  <c r="AF24" i="17" l="1"/>
  <c r="AF23" i="17"/>
  <c r="AF22" i="17"/>
  <c r="AF14" i="17"/>
  <c r="AF21" i="17"/>
  <c r="AF20" i="17"/>
  <c r="AF19" i="17"/>
  <c r="AF18" i="17"/>
  <c r="AF16" i="17"/>
  <c r="AF17" i="17"/>
  <c r="AF42" i="17"/>
  <c r="AF35" i="17"/>
  <c r="AF12" i="17"/>
  <c r="AF40" i="17"/>
  <c r="AF43" i="17"/>
  <c r="AF13" i="17"/>
  <c r="AF47" i="17"/>
  <c r="AG7" i="17"/>
  <c r="AF29" i="17"/>
  <c r="AF34" i="17"/>
  <c r="AF44" i="17"/>
  <c r="AF36" i="17"/>
  <c r="AF41" i="17"/>
  <c r="AF9" i="17"/>
  <c r="AF33" i="17"/>
  <c r="AF45" i="17"/>
  <c r="AF15" i="17"/>
  <c r="AF31" i="17"/>
  <c r="AF39" i="17"/>
  <c r="AF46" i="17"/>
  <c r="AF11" i="17"/>
  <c r="AF32" i="17"/>
  <c r="AF38" i="17"/>
  <c r="AF30" i="17"/>
  <c r="AF37" i="17"/>
  <c r="AG24" i="17" l="1"/>
  <c r="AG23" i="17"/>
  <c r="AG22" i="17"/>
  <c r="AG14" i="17"/>
  <c r="AG21" i="17"/>
  <c r="AG20" i="17"/>
  <c r="AG19" i="17"/>
  <c r="AG18" i="17"/>
  <c r="AG16" i="17"/>
  <c r="AG17" i="17"/>
  <c r="AG45" i="17"/>
  <c r="AG29" i="17"/>
  <c r="AG38" i="17"/>
  <c r="AG31" i="17"/>
  <c r="AG36" i="17"/>
  <c r="AG39" i="17"/>
  <c r="AG15" i="17"/>
  <c r="AG40" i="17"/>
  <c r="AG41" i="17"/>
  <c r="AH7" i="17"/>
  <c r="AG11" i="17"/>
  <c r="AG44" i="17"/>
  <c r="AG32" i="17"/>
  <c r="AG12" i="17"/>
  <c r="AG9" i="17"/>
  <c r="AG47" i="17"/>
  <c r="AG42" i="17"/>
  <c r="AG33" i="17"/>
  <c r="AG30" i="17"/>
  <c r="AG46" i="17"/>
  <c r="AG43" i="17"/>
  <c r="AG34" i="17"/>
  <c r="AG37" i="17"/>
  <c r="AG13" i="17"/>
  <c r="AG35" i="17"/>
  <c r="AH23" i="17" l="1"/>
  <c r="AH22" i="17"/>
  <c r="AH24" i="17"/>
  <c r="AH14" i="17"/>
  <c r="AH20" i="17"/>
  <c r="AH21" i="17"/>
  <c r="AH19" i="17"/>
  <c r="AH18" i="17"/>
  <c r="AH16" i="17"/>
  <c r="AH17" i="17"/>
  <c r="AH46" i="17"/>
  <c r="AH34" i="17"/>
  <c r="AH37" i="17"/>
  <c r="AH41" i="17"/>
  <c r="AH39" i="17"/>
  <c r="AH12" i="17"/>
  <c r="AI7" i="17"/>
  <c r="AH40" i="17"/>
  <c r="AH13" i="17"/>
  <c r="AH42" i="17"/>
  <c r="AH29" i="17"/>
  <c r="AH47" i="17"/>
  <c r="AH33" i="17"/>
  <c r="AH30" i="17"/>
  <c r="AH31" i="17"/>
  <c r="AH44" i="17"/>
  <c r="AH35" i="17"/>
  <c r="AH43" i="17"/>
  <c r="AH32" i="17"/>
  <c r="AH11" i="17"/>
  <c r="AH15" i="17"/>
  <c r="AH36" i="17"/>
  <c r="AH45" i="17"/>
  <c r="AH9" i="17"/>
  <c r="AH38" i="17"/>
  <c r="AI22" i="17" l="1"/>
  <c r="AI24" i="17"/>
  <c r="AI23" i="17"/>
  <c r="AI14" i="17"/>
  <c r="AI20" i="17"/>
  <c r="AI21" i="17"/>
  <c r="AI19" i="17"/>
  <c r="AI18" i="17"/>
  <c r="AI16" i="17"/>
  <c r="AI17" i="17"/>
  <c r="AI39" i="17"/>
  <c r="AI42" i="17"/>
  <c r="AI43" i="17"/>
  <c r="AI44" i="17"/>
  <c r="AI46" i="17"/>
  <c r="AI13" i="17"/>
  <c r="AI12" i="17"/>
  <c r="AI36" i="17"/>
  <c r="AI29" i="17"/>
  <c r="AI15" i="17"/>
  <c r="AI33" i="17"/>
  <c r="AI31" i="17"/>
  <c r="AI40" i="17"/>
  <c r="AJ7" i="17"/>
  <c r="AI34" i="17"/>
  <c r="AI30" i="17"/>
  <c r="AI45" i="17"/>
  <c r="AI9" i="17"/>
  <c r="AI35" i="17"/>
  <c r="AI47" i="17"/>
  <c r="AI32" i="17"/>
  <c r="AI11" i="17"/>
  <c r="AI37" i="17"/>
  <c r="AI38" i="17"/>
  <c r="AI41" i="17"/>
  <c r="AJ23" i="17" l="1"/>
  <c r="AJ24" i="17"/>
  <c r="AJ22" i="17"/>
  <c r="AJ14" i="17"/>
  <c r="AJ21" i="17"/>
  <c r="AJ20" i="17"/>
  <c r="AJ19" i="17"/>
  <c r="AJ18" i="17"/>
  <c r="AJ16" i="17"/>
  <c r="AJ17" i="17"/>
  <c r="AJ44" i="17"/>
  <c r="AJ45" i="17"/>
  <c r="AJ46" i="17"/>
  <c r="AJ12" i="17"/>
  <c r="AJ41" i="17"/>
  <c r="AJ15" i="17"/>
  <c r="AJ31" i="17"/>
  <c r="AJ38" i="17"/>
  <c r="AJ35" i="17"/>
  <c r="AJ42" i="17"/>
  <c r="AJ34" i="17"/>
  <c r="AJ36" i="17"/>
  <c r="AJ30" i="17"/>
  <c r="AJ13" i="17"/>
  <c r="AJ32" i="17"/>
  <c r="AJ33" i="17"/>
  <c r="AJ29" i="17"/>
  <c r="AJ47" i="17"/>
  <c r="AJ9" i="17"/>
  <c r="AK7" i="17"/>
  <c r="AJ40" i="17"/>
  <c r="AJ43" i="17"/>
  <c r="AJ11" i="17"/>
  <c r="AJ37" i="17"/>
  <c r="AJ39" i="17"/>
  <c r="AK22" i="17" l="1"/>
  <c r="AK24" i="17"/>
  <c r="AK23" i="17"/>
  <c r="AK14" i="17"/>
  <c r="AK20" i="17"/>
  <c r="AK21" i="17"/>
  <c r="AK19" i="17"/>
  <c r="AK18" i="17"/>
  <c r="AK16" i="17"/>
  <c r="AK17" i="17"/>
  <c r="AK37" i="17"/>
  <c r="AK46" i="17"/>
  <c r="AK42" i="17"/>
  <c r="AK9" i="17"/>
  <c r="AK34" i="17"/>
  <c r="AK35" i="17"/>
  <c r="AK32" i="17"/>
  <c r="AK31" i="17"/>
  <c r="AK29" i="17"/>
  <c r="AK43" i="17"/>
  <c r="AK45" i="17"/>
  <c r="AK13" i="17"/>
  <c r="AK47" i="17"/>
  <c r="AL7" i="17"/>
  <c r="AK11" i="17"/>
  <c r="AK39" i="17"/>
  <c r="AK44" i="17"/>
  <c r="AK30" i="17"/>
  <c r="AK36" i="17"/>
  <c r="AK41" i="17"/>
  <c r="AK33" i="17"/>
  <c r="AK40" i="17"/>
  <c r="AK15" i="17"/>
  <c r="AK38" i="17"/>
  <c r="AK12" i="17"/>
  <c r="AK6" i="17"/>
  <c r="AL22" i="17" l="1"/>
  <c r="AL24" i="17"/>
  <c r="AL23" i="17"/>
  <c r="AL14" i="17"/>
  <c r="AL21" i="17"/>
  <c r="AL20" i="17"/>
  <c r="AL19" i="17"/>
  <c r="AL18" i="17"/>
  <c r="AL16" i="17"/>
  <c r="AL17" i="17"/>
  <c r="AL43" i="17"/>
  <c r="AL47" i="17"/>
  <c r="AL46" i="17"/>
  <c r="AL39" i="17"/>
  <c r="AL44" i="17"/>
  <c r="AL13" i="17"/>
  <c r="AL15" i="17"/>
  <c r="AL32" i="17"/>
  <c r="AL36" i="17"/>
  <c r="AL9" i="17"/>
  <c r="AL37" i="17"/>
  <c r="AL33" i="17"/>
  <c r="AL11" i="17"/>
  <c r="AL38" i="17"/>
  <c r="AL45" i="17"/>
  <c r="AM7" i="17"/>
  <c r="AL40" i="17"/>
  <c r="AL12" i="17"/>
  <c r="AL34" i="17"/>
  <c r="AL41" i="17"/>
  <c r="AL30" i="17"/>
  <c r="AL35" i="17"/>
  <c r="AL42" i="17"/>
  <c r="AL29" i="17"/>
  <c r="AL31" i="17"/>
  <c r="AM24" i="17" l="1"/>
  <c r="AM23" i="17"/>
  <c r="AM22" i="17"/>
  <c r="AM14" i="17"/>
  <c r="AM21" i="17"/>
  <c r="AM20" i="17"/>
  <c r="AM19" i="17"/>
  <c r="AM18" i="17"/>
  <c r="AM16" i="17"/>
  <c r="AM17" i="17"/>
  <c r="AM44" i="17"/>
  <c r="AM29" i="17"/>
  <c r="AM34" i="17"/>
  <c r="AM38" i="17"/>
  <c r="AM39" i="17"/>
  <c r="AM15" i="17"/>
  <c r="AM36" i="17"/>
  <c r="AN7" i="17"/>
  <c r="AM37" i="17"/>
  <c r="AM45" i="17"/>
  <c r="AM42" i="17"/>
  <c r="AM41" i="17"/>
  <c r="AM9" i="17"/>
  <c r="AM13" i="17"/>
  <c r="AM35" i="17"/>
  <c r="AM46" i="17"/>
  <c r="AM11" i="17"/>
  <c r="AM32" i="17"/>
  <c r="AM40" i="17"/>
  <c r="AM47" i="17"/>
  <c r="AM12" i="17"/>
  <c r="AM33" i="17"/>
  <c r="AM43" i="17"/>
  <c r="AM31" i="17"/>
  <c r="AM30" i="17"/>
  <c r="AN24" i="17" l="1"/>
  <c r="AN23" i="17"/>
  <c r="AN22" i="17"/>
  <c r="AN14" i="17"/>
  <c r="AN21" i="17"/>
  <c r="AN20" i="17"/>
  <c r="AN19" i="17"/>
  <c r="AN18" i="17"/>
  <c r="AN16" i="17"/>
  <c r="AN17" i="17"/>
  <c r="AN41" i="17"/>
  <c r="AN32" i="17"/>
  <c r="AN35" i="17"/>
  <c r="AN43" i="17"/>
  <c r="AN13" i="17"/>
  <c r="AN12" i="17"/>
  <c r="AN11" i="17"/>
  <c r="AN39" i="17"/>
  <c r="AN38" i="17"/>
  <c r="AN30" i="17"/>
  <c r="AN42" i="17"/>
  <c r="AO7" i="17"/>
  <c r="AN44" i="17"/>
  <c r="AN45" i="17"/>
  <c r="AN46" i="17"/>
  <c r="AN36" i="17"/>
  <c r="AN40" i="17"/>
  <c r="AN47" i="17"/>
  <c r="AN29" i="17"/>
  <c r="AN34" i="17"/>
  <c r="AN31" i="17"/>
  <c r="AN33" i="17"/>
  <c r="AN15" i="17"/>
  <c r="AN9" i="17"/>
  <c r="AN37" i="17"/>
  <c r="AO24" i="17" l="1"/>
  <c r="AO23" i="17"/>
  <c r="AO22" i="17"/>
  <c r="AO14" i="17"/>
  <c r="AO21" i="17"/>
  <c r="AO20" i="17"/>
  <c r="AO19" i="17"/>
  <c r="AO18" i="17"/>
  <c r="AO16" i="17"/>
  <c r="AO17" i="17"/>
  <c r="AO46" i="17"/>
  <c r="AO40" i="17"/>
  <c r="AO41" i="17"/>
  <c r="AO43" i="17"/>
  <c r="AO45" i="17"/>
  <c r="AO47" i="17"/>
  <c r="AO37" i="17"/>
  <c r="AO29" i="17"/>
  <c r="AO33" i="17"/>
  <c r="AO9" i="17"/>
  <c r="AO35" i="17"/>
  <c r="AO42" i="17"/>
  <c r="AO31" i="17"/>
  <c r="AO13" i="17"/>
  <c r="AO32" i="17"/>
  <c r="AO15" i="17"/>
  <c r="AO36" i="17"/>
  <c r="AO12" i="17"/>
  <c r="AO11" i="17"/>
  <c r="AO38" i="17"/>
  <c r="AP7" i="17"/>
  <c r="AO30" i="17"/>
  <c r="AO39" i="17"/>
  <c r="AO44" i="17"/>
  <c r="AO34" i="17"/>
  <c r="AP23" i="17" l="1"/>
  <c r="AP22" i="17"/>
  <c r="AP24" i="17"/>
  <c r="AP14" i="17"/>
  <c r="AP20" i="17"/>
  <c r="AP21" i="17"/>
  <c r="AP19" i="17"/>
  <c r="AP18" i="17"/>
  <c r="AP16" i="17"/>
  <c r="AP17" i="17"/>
  <c r="AP41" i="17"/>
  <c r="AP44" i="17"/>
  <c r="AP45" i="17"/>
  <c r="AP15" i="17"/>
  <c r="AP46" i="17"/>
  <c r="AP29" i="17"/>
  <c r="AP35" i="17"/>
  <c r="AP42" i="17"/>
  <c r="AP36" i="17"/>
  <c r="AP31" i="17"/>
  <c r="AP47" i="17"/>
  <c r="AP9" i="17"/>
  <c r="AP11" i="17"/>
  <c r="AP38" i="17"/>
  <c r="AP13" i="17"/>
  <c r="AP39" i="17"/>
  <c r="AP37" i="17"/>
  <c r="AP43" i="17"/>
  <c r="AQ7" i="17"/>
  <c r="AP33" i="17"/>
  <c r="AP40" i="17"/>
  <c r="AP12" i="17"/>
  <c r="AP30" i="17"/>
  <c r="AP32" i="17"/>
  <c r="AP34" i="17"/>
  <c r="AQ22" i="17" l="1"/>
  <c r="AQ24" i="17"/>
  <c r="AQ23" i="17"/>
  <c r="AQ14" i="17"/>
  <c r="AQ20" i="17"/>
  <c r="AQ21" i="17"/>
  <c r="AQ19" i="17"/>
  <c r="AQ18" i="17"/>
  <c r="AQ16" i="17"/>
  <c r="AQ17" i="17"/>
  <c r="AQ43" i="17"/>
  <c r="AQ44" i="17"/>
  <c r="AQ45" i="17"/>
  <c r="AQ35" i="17"/>
  <c r="AQ46" i="17"/>
  <c r="AQ9" i="17"/>
  <c r="AQ11" i="17"/>
  <c r="AQ30" i="17"/>
  <c r="AQ36" i="17"/>
  <c r="AQ40" i="17"/>
  <c r="AQ29" i="17"/>
  <c r="AQ31" i="17"/>
  <c r="AQ34" i="17"/>
  <c r="AQ47" i="17"/>
  <c r="AQ13" i="17"/>
  <c r="AQ37" i="17"/>
  <c r="AQ38" i="17"/>
  <c r="AQ15" i="17"/>
  <c r="AQ32" i="17"/>
  <c r="AQ39" i="17"/>
  <c r="AR7" i="17"/>
  <c r="AQ33" i="17"/>
  <c r="AQ42" i="17"/>
  <c r="AQ12" i="17"/>
  <c r="AQ41" i="17"/>
  <c r="AR23" i="17" l="1"/>
  <c r="AR22" i="17"/>
  <c r="AR24" i="17"/>
  <c r="AR14" i="17"/>
  <c r="AR21" i="17"/>
  <c r="AR20" i="17"/>
  <c r="AR19" i="17"/>
  <c r="AR18" i="17"/>
  <c r="AR16" i="17"/>
  <c r="AR17" i="17"/>
  <c r="AR47" i="17"/>
  <c r="AR43" i="17"/>
  <c r="AR44" i="17"/>
  <c r="AR9" i="17"/>
  <c r="AR11" i="17"/>
  <c r="AS7" i="17"/>
  <c r="AR36" i="17"/>
  <c r="AR45" i="17"/>
  <c r="AR42" i="17"/>
  <c r="AR46" i="17"/>
  <c r="AR6" i="17"/>
  <c r="AR32" i="17"/>
  <c r="AR31" i="17"/>
  <c r="AR39" i="17"/>
  <c r="AR34" i="17"/>
  <c r="AR38" i="17"/>
  <c r="AR29" i="17"/>
  <c r="AR13" i="17"/>
  <c r="AR12" i="17"/>
  <c r="AR33" i="17"/>
  <c r="AR30" i="17"/>
  <c r="AR35" i="17"/>
  <c r="AR41" i="17"/>
  <c r="AR15" i="17"/>
  <c r="AR37" i="17"/>
  <c r="AR40" i="17"/>
  <c r="AS22" i="17" l="1"/>
  <c r="AS23" i="17"/>
  <c r="AS24" i="17"/>
  <c r="AS14" i="17"/>
  <c r="AS20" i="17"/>
  <c r="AS21" i="17"/>
  <c r="AS19" i="17"/>
  <c r="AS18" i="17"/>
  <c r="AS16" i="17"/>
  <c r="AS17" i="17"/>
  <c r="AS46" i="17"/>
  <c r="AS45" i="17"/>
  <c r="AS47" i="17"/>
  <c r="AS42" i="17"/>
  <c r="AS33" i="17"/>
  <c r="AT7" i="17"/>
  <c r="AS9" i="17"/>
  <c r="AS11" i="17"/>
  <c r="AS15" i="17"/>
  <c r="AS43" i="17"/>
  <c r="AS32" i="17"/>
  <c r="AS39" i="17"/>
  <c r="AS29" i="17"/>
  <c r="AS12" i="17"/>
  <c r="AS34" i="17"/>
  <c r="AS30" i="17"/>
  <c r="AS36" i="17"/>
  <c r="AS37" i="17"/>
  <c r="AS44" i="17"/>
  <c r="AS38" i="17"/>
  <c r="AS40" i="17"/>
  <c r="AS31" i="17"/>
  <c r="AS41" i="17"/>
  <c r="AS13" i="17"/>
  <c r="AS35" i="17"/>
  <c r="AT23" i="17" l="1"/>
  <c r="AT22" i="17"/>
  <c r="AT24" i="17"/>
  <c r="AT14" i="17"/>
  <c r="AT21" i="17"/>
  <c r="AT20" i="17"/>
  <c r="AT19" i="17"/>
  <c r="AT18" i="17"/>
  <c r="AT16" i="17"/>
  <c r="AT17" i="17"/>
  <c r="AT41" i="17"/>
  <c r="AT46" i="17"/>
  <c r="AT44" i="17"/>
  <c r="AT45" i="17"/>
  <c r="AT43" i="17"/>
  <c r="AU7" i="17"/>
  <c r="AT29" i="17"/>
  <c r="AT37" i="17"/>
  <c r="AT34" i="17"/>
  <c r="AT35" i="17"/>
  <c r="AT11" i="17"/>
  <c r="AT31" i="17"/>
  <c r="AT36" i="17"/>
  <c r="AT38" i="17"/>
  <c r="AT32" i="17"/>
  <c r="AT13" i="17"/>
  <c r="AT40" i="17"/>
  <c r="AT15" i="17"/>
  <c r="AT42" i="17"/>
  <c r="AT9" i="17"/>
  <c r="AT33" i="17"/>
  <c r="AT39" i="17"/>
  <c r="AT47" i="17"/>
  <c r="AT12" i="17"/>
  <c r="AT30" i="17"/>
  <c r="AU24" i="17" l="1"/>
  <c r="AU23" i="17"/>
  <c r="AU22" i="17"/>
  <c r="AU14" i="17"/>
  <c r="AU21" i="17"/>
  <c r="AU20" i="17"/>
  <c r="AU19" i="17"/>
  <c r="AU18" i="17"/>
  <c r="AU16" i="17"/>
  <c r="AU17" i="17"/>
  <c r="AU39" i="17"/>
  <c r="AU45" i="17"/>
  <c r="AU47" i="17"/>
  <c r="AU43" i="17"/>
  <c r="AU44" i="17"/>
  <c r="AU40" i="17"/>
  <c r="AU9" i="17"/>
  <c r="AU11" i="17"/>
  <c r="AU36" i="17"/>
  <c r="AU46" i="17"/>
  <c r="AU29" i="17"/>
  <c r="AU33" i="17"/>
  <c r="AU37" i="17"/>
  <c r="AV7" i="17"/>
  <c r="AU34" i="17"/>
  <c r="AU30" i="17"/>
  <c r="AU12" i="17"/>
  <c r="AU31" i="17"/>
  <c r="AU42" i="17"/>
  <c r="AU13" i="17"/>
  <c r="AU35" i="17"/>
  <c r="AU15" i="17"/>
  <c r="AU32" i="17"/>
  <c r="AU41" i="17"/>
  <c r="AU38" i="17"/>
  <c r="AV24" i="17" l="1"/>
  <c r="AV23" i="17"/>
  <c r="AV22" i="17"/>
  <c r="AV14" i="17"/>
  <c r="AV21" i="17"/>
  <c r="AV20" i="17"/>
  <c r="AV19" i="17"/>
  <c r="AV18" i="17"/>
  <c r="AV16" i="17"/>
  <c r="AV17" i="17"/>
  <c r="AV44" i="17"/>
  <c r="AV47" i="17"/>
  <c r="AV35" i="17"/>
  <c r="AV15" i="17"/>
  <c r="AV45" i="17"/>
  <c r="AV12" i="17"/>
  <c r="AV46" i="17"/>
  <c r="AV31" i="17"/>
  <c r="AV36" i="17"/>
  <c r="AV37" i="17"/>
  <c r="AV39" i="17"/>
  <c r="AV13" i="17"/>
  <c r="AV40" i="17"/>
  <c r="AV9" i="17"/>
  <c r="AV41" i="17"/>
  <c r="AV11" i="17"/>
  <c r="AV32" i="17"/>
  <c r="AV38" i="17"/>
  <c r="AV30" i="17"/>
  <c r="AV42" i="17"/>
  <c r="AV34" i="17"/>
  <c r="AV29" i="17"/>
  <c r="AV43" i="17"/>
  <c r="AW7" i="17"/>
  <c r="AV33" i="17"/>
  <c r="AW24" i="17" l="1"/>
  <c r="AW23" i="17"/>
  <c r="AW22" i="17"/>
  <c r="AW14" i="17"/>
  <c r="AW21" i="17"/>
  <c r="AW20" i="17"/>
  <c r="AW19" i="17"/>
  <c r="AW18" i="17"/>
  <c r="AW16" i="17"/>
  <c r="AW17" i="17"/>
  <c r="AW46" i="17"/>
  <c r="AW13" i="17"/>
  <c r="AW33" i="17"/>
  <c r="AW38" i="17"/>
  <c r="AW43" i="17"/>
  <c r="AW32" i="17"/>
  <c r="AW15" i="17"/>
  <c r="AW47" i="17"/>
  <c r="AW39" i="17"/>
  <c r="AW29" i="17"/>
  <c r="AW42" i="17"/>
  <c r="AW30" i="17"/>
  <c r="AW37" i="17"/>
  <c r="AW35" i="17"/>
  <c r="AW40" i="17"/>
  <c r="AW34" i="17"/>
  <c r="AW41" i="17"/>
  <c r="AW45" i="17"/>
  <c r="AW31" i="17"/>
  <c r="AW12" i="17"/>
  <c r="AW9" i="17"/>
  <c r="AW36" i="17"/>
  <c r="AW44" i="17"/>
  <c r="AX7" i="17"/>
  <c r="AW11" i="17"/>
  <c r="AX23" i="17" l="1"/>
  <c r="AX22" i="17"/>
  <c r="AX24" i="17"/>
  <c r="AX14" i="17"/>
  <c r="AX20" i="17"/>
  <c r="AX21" i="17"/>
  <c r="AX19" i="17"/>
  <c r="AX18" i="17"/>
  <c r="AX16" i="17"/>
  <c r="AX17" i="17"/>
  <c r="AX42" i="17"/>
  <c r="AX32" i="17"/>
  <c r="AX44" i="17"/>
  <c r="AX35" i="17"/>
  <c r="AX43" i="17"/>
  <c r="AX31" i="17"/>
  <c r="AX11" i="17"/>
  <c r="AX15" i="17"/>
  <c r="AX36" i="17"/>
  <c r="AX45" i="17"/>
  <c r="AX9" i="17"/>
  <c r="AX38" i="17"/>
  <c r="AX46" i="17"/>
  <c r="AX37" i="17"/>
  <c r="AX29" i="17"/>
  <c r="AX39" i="17"/>
  <c r="AX47" i="17"/>
  <c r="AY7" i="17"/>
  <c r="AX33" i="17"/>
  <c r="AX40" i="17"/>
  <c r="AX12" i="17"/>
  <c r="AX30" i="17"/>
  <c r="AX41" i="17"/>
  <c r="AX13" i="17"/>
  <c r="AX34" i="17"/>
  <c r="AY22" i="17" l="1"/>
  <c r="AY24" i="17"/>
  <c r="AY23" i="17"/>
  <c r="AY14" i="17"/>
  <c r="AY21" i="17"/>
  <c r="AY20" i="17"/>
  <c r="AY19" i="17"/>
  <c r="AY18" i="17"/>
  <c r="AY16" i="17"/>
  <c r="AY17" i="17"/>
  <c r="AY46" i="17"/>
  <c r="AY12" i="17"/>
  <c r="AY41" i="17"/>
  <c r="AY33" i="17"/>
  <c r="AY40" i="17"/>
  <c r="AY35" i="17"/>
  <c r="AY38" i="17"/>
  <c r="AY47" i="17"/>
  <c r="AZ7" i="17"/>
  <c r="AY32" i="17"/>
  <c r="AY39" i="17"/>
  <c r="AY13" i="17"/>
  <c r="AY15" i="17"/>
  <c r="AY37" i="17"/>
  <c r="AY42" i="17"/>
  <c r="AY9" i="17"/>
  <c r="AY43" i="17"/>
  <c r="AY11" i="17"/>
  <c r="AY29" i="17"/>
  <c r="AY44" i="17"/>
  <c r="AY31" i="17"/>
  <c r="AY30" i="17"/>
  <c r="AY45" i="17"/>
  <c r="AY6" i="17"/>
  <c r="AY36" i="17"/>
  <c r="AY34" i="17"/>
  <c r="AZ23" i="17" l="1"/>
  <c r="AZ24" i="17"/>
  <c r="AZ22" i="17"/>
  <c r="AZ14" i="17"/>
  <c r="AZ21" i="17"/>
  <c r="AZ20" i="17"/>
  <c r="AZ19" i="17"/>
  <c r="AZ18" i="17"/>
  <c r="AZ16" i="17"/>
  <c r="AZ17" i="17"/>
  <c r="AZ43" i="17"/>
  <c r="AZ44" i="17"/>
  <c r="AZ29" i="17"/>
  <c r="AZ13" i="17"/>
  <c r="AZ45" i="17"/>
  <c r="AZ15" i="17"/>
  <c r="AZ47" i="17"/>
  <c r="AZ31" i="17"/>
  <c r="AZ34" i="17"/>
  <c r="AZ39" i="17"/>
  <c r="AZ30" i="17"/>
  <c r="AZ36" i="17"/>
  <c r="AZ46" i="17"/>
  <c r="AZ40" i="17"/>
  <c r="AZ33" i="17"/>
  <c r="BA7" i="17"/>
  <c r="AZ12" i="17"/>
  <c r="AZ41" i="17"/>
  <c r="AZ35" i="17"/>
  <c r="AZ38" i="17"/>
  <c r="AZ9" i="17"/>
  <c r="AZ42" i="17"/>
  <c r="AZ32" i="17"/>
  <c r="AZ11" i="17"/>
  <c r="AZ37" i="17"/>
  <c r="BA22" i="17" l="1"/>
  <c r="BA24" i="17"/>
  <c r="BA23" i="17"/>
  <c r="BA14" i="17"/>
  <c r="BA21" i="17"/>
  <c r="BA20" i="17"/>
  <c r="BA19" i="17"/>
  <c r="BA18" i="17"/>
  <c r="BA16" i="17"/>
  <c r="BA17" i="17"/>
  <c r="BA40" i="17"/>
  <c r="BA9" i="17"/>
  <c r="BA32" i="17"/>
  <c r="BA42" i="17"/>
  <c r="BA38" i="17"/>
  <c r="BA12" i="17"/>
  <c r="BA39" i="17"/>
  <c r="BA33" i="17"/>
  <c r="BA41" i="17"/>
  <c r="BA15" i="17"/>
  <c r="BA37" i="17"/>
  <c r="BA29" i="17"/>
  <c r="BA45" i="17"/>
  <c r="BA13" i="17"/>
  <c r="BA31" i="17"/>
  <c r="BA47" i="17"/>
  <c r="BA11" i="17"/>
  <c r="BA44" i="17"/>
  <c r="BB7" i="17"/>
  <c r="BA34" i="17"/>
  <c r="BA43" i="17"/>
  <c r="BA46" i="17"/>
  <c r="BA35" i="17"/>
  <c r="BA30" i="17"/>
  <c r="BA36" i="17"/>
  <c r="BB22" i="17" l="1"/>
  <c r="BB24" i="17"/>
  <c r="BB23" i="17"/>
  <c r="BB14" i="17"/>
  <c r="BB21" i="17"/>
  <c r="BB20" i="17"/>
  <c r="BB19" i="17"/>
  <c r="BB18" i="17"/>
  <c r="BB16" i="17"/>
  <c r="BB17" i="17"/>
  <c r="BB42" i="17"/>
  <c r="BB11" i="17"/>
  <c r="BB31" i="17"/>
  <c r="BB9" i="17"/>
  <c r="BB37" i="17"/>
  <c r="BB29" i="17"/>
  <c r="BB44" i="17"/>
  <c r="BC7" i="17"/>
  <c r="BB13" i="17"/>
  <c r="BB45" i="17"/>
  <c r="BB43" i="17"/>
  <c r="BB33" i="17"/>
  <c r="BB47" i="17"/>
  <c r="BB36" i="17"/>
  <c r="BB38" i="17"/>
  <c r="BB30" i="17"/>
  <c r="BB46" i="17"/>
  <c r="BB39" i="17"/>
  <c r="BB15" i="17"/>
  <c r="BB32" i="17"/>
  <c r="BB40" i="17"/>
  <c r="BB12" i="17"/>
  <c r="BB34" i="17"/>
  <c r="BB41" i="17"/>
  <c r="BB35" i="17"/>
  <c r="BC24" i="17" l="1"/>
  <c r="BC22" i="17"/>
  <c r="BC23" i="17"/>
  <c r="BC14" i="17"/>
  <c r="BC21" i="17"/>
  <c r="BC20" i="17"/>
  <c r="BC19" i="17"/>
  <c r="BC18" i="17"/>
  <c r="BC16" i="17"/>
  <c r="BC17" i="17"/>
  <c r="BC44" i="17"/>
  <c r="BC15" i="17"/>
  <c r="BC34" i="17"/>
  <c r="BC39" i="17"/>
  <c r="BC45" i="17"/>
  <c r="BC47" i="17"/>
  <c r="BC31" i="17"/>
  <c r="BC32" i="17"/>
  <c r="BC41" i="17"/>
  <c r="BC9" i="17"/>
  <c r="BC40" i="17"/>
  <c r="BC11" i="17"/>
  <c r="BC38" i="17"/>
  <c r="BC36" i="17"/>
  <c r="BC13" i="17"/>
  <c r="BC35" i="17"/>
  <c r="BC46" i="17"/>
  <c r="BC37" i="17"/>
  <c r="BD7" i="17"/>
  <c r="BC33" i="17"/>
  <c r="BC43" i="17"/>
  <c r="BC29" i="17"/>
  <c r="BC42" i="17"/>
  <c r="BC12" i="17"/>
  <c r="BC30" i="17"/>
  <c r="BD24" i="17" l="1"/>
  <c r="BD23" i="17"/>
  <c r="BD22" i="17"/>
  <c r="BD14" i="17"/>
  <c r="BD21" i="17"/>
  <c r="BD20" i="17"/>
  <c r="BD19" i="17"/>
  <c r="BD18" i="17"/>
  <c r="BD16" i="17"/>
  <c r="BD17" i="17"/>
  <c r="BD44" i="17"/>
  <c r="BD36" i="17"/>
  <c r="BD33" i="17"/>
  <c r="BD46" i="17"/>
  <c r="BD47" i="17"/>
  <c r="BD41" i="17"/>
  <c r="BD40" i="17"/>
  <c r="BD15" i="17"/>
  <c r="BD34" i="17"/>
  <c r="BD31" i="17"/>
  <c r="BD9" i="17"/>
  <c r="BD11" i="17"/>
  <c r="BD38" i="17"/>
  <c r="BD35" i="17"/>
  <c r="BD13" i="17"/>
  <c r="BD12" i="17"/>
  <c r="BD29" i="17"/>
  <c r="BD45" i="17"/>
  <c r="BD30" i="17"/>
  <c r="BD42" i="17"/>
  <c r="BD37" i="17"/>
  <c r="BD39" i="17"/>
  <c r="BD43" i="17"/>
  <c r="BD32" i="17"/>
  <c r="BE7" i="17"/>
  <c r="BE24" i="17" l="1"/>
  <c r="BE23" i="17"/>
  <c r="BE22" i="17"/>
  <c r="BE14" i="17"/>
  <c r="BE21" i="17"/>
  <c r="BE20" i="17"/>
  <c r="BE19" i="17"/>
  <c r="BE18" i="17"/>
  <c r="BE16" i="17"/>
  <c r="BE17" i="17"/>
  <c r="BE40" i="17"/>
  <c r="BE34" i="17"/>
  <c r="BE31" i="17"/>
  <c r="BE36" i="17"/>
  <c r="BE43" i="17"/>
  <c r="BE33" i="17"/>
  <c r="BE41" i="17"/>
  <c r="BE9" i="17"/>
  <c r="BE42" i="17"/>
  <c r="BE30" i="17"/>
  <c r="BE47" i="17"/>
  <c r="BE46" i="17"/>
  <c r="BE37" i="17"/>
  <c r="BE15" i="17"/>
  <c r="BE38" i="17"/>
  <c r="BE35" i="17"/>
  <c r="BE39" i="17"/>
  <c r="BE12" i="17"/>
  <c r="BE11" i="17"/>
  <c r="BE45" i="17"/>
  <c r="BF7" i="17"/>
  <c r="BE13" i="17"/>
  <c r="BE32" i="17"/>
  <c r="BE29" i="17"/>
  <c r="BE44" i="17"/>
  <c r="BF23" i="17" l="1"/>
  <c r="BF22" i="17"/>
  <c r="BF24" i="17"/>
  <c r="BF14" i="17"/>
  <c r="BF20" i="17"/>
  <c r="BF21" i="17"/>
  <c r="BF19" i="17"/>
  <c r="BF18" i="17"/>
  <c r="BF16" i="17"/>
  <c r="BF17" i="17"/>
  <c r="BF44" i="17"/>
  <c r="BF39" i="17"/>
  <c r="BF45" i="17"/>
  <c r="BF47" i="17"/>
  <c r="BF11" i="17"/>
  <c r="BF33" i="17"/>
  <c r="BG7" i="17"/>
  <c r="BF36" i="17"/>
  <c r="BF32" i="17"/>
  <c r="BF29" i="17"/>
  <c r="BF38" i="17"/>
  <c r="BF46" i="17"/>
  <c r="BF12" i="17"/>
  <c r="BF30" i="17"/>
  <c r="BF40" i="17"/>
  <c r="BF6" i="17"/>
  <c r="BF34" i="17"/>
  <c r="BF41" i="17"/>
  <c r="BF35" i="17"/>
  <c r="BF37" i="17"/>
  <c r="BF13" i="17"/>
  <c r="BF42" i="17"/>
  <c r="BF43" i="17"/>
  <c r="BF9" i="17"/>
  <c r="BF15" i="17"/>
  <c r="BF31" i="17"/>
  <c r="BG22" i="17" l="1"/>
  <c r="BG24" i="17"/>
  <c r="BG23" i="17"/>
  <c r="BG14" i="17"/>
  <c r="BG20" i="17"/>
  <c r="BG21" i="17"/>
  <c r="BG19" i="17"/>
  <c r="BG18" i="17"/>
  <c r="BG16" i="17"/>
  <c r="BG17" i="17"/>
  <c r="BG38" i="17"/>
  <c r="BG39" i="17"/>
  <c r="BG42" i="17"/>
  <c r="BG43" i="17"/>
  <c r="BG41" i="17"/>
  <c r="BG15" i="17"/>
  <c r="BG44" i="17"/>
  <c r="BG9" i="17"/>
  <c r="BG31" i="17"/>
  <c r="BG40" i="17"/>
  <c r="BG29" i="17"/>
  <c r="BG45" i="17"/>
  <c r="BG33" i="17"/>
  <c r="BH7" i="17"/>
  <c r="BG30" i="17"/>
  <c r="BG46" i="17"/>
  <c r="BG12" i="17"/>
  <c r="BG34" i="17"/>
  <c r="BG13" i="17"/>
  <c r="BG35" i="17"/>
  <c r="BG11" i="17"/>
  <c r="BG32" i="17"/>
  <c r="BG37" i="17"/>
  <c r="BG47" i="17"/>
  <c r="BG36" i="17"/>
  <c r="BH23" i="17" l="1"/>
  <c r="BH22" i="17"/>
  <c r="BH24" i="17"/>
  <c r="BH14" i="17"/>
  <c r="BH21" i="17"/>
  <c r="BH20" i="17"/>
  <c r="BH19" i="17"/>
  <c r="BH18" i="17"/>
  <c r="BH16" i="17"/>
  <c r="BH17" i="17"/>
  <c r="BH43" i="17"/>
  <c r="BH47" i="17"/>
  <c r="BH46" i="17"/>
  <c r="BH45" i="17"/>
  <c r="BH44" i="17"/>
  <c r="BH13" i="17"/>
  <c r="BH15" i="17"/>
  <c r="BH37" i="17"/>
  <c r="BH40" i="17"/>
  <c r="BI7" i="17"/>
  <c r="BH12" i="17"/>
  <c r="BH35" i="17"/>
  <c r="BH29" i="17"/>
  <c r="BH30" i="17"/>
  <c r="BH33" i="17"/>
  <c r="BH31" i="17"/>
  <c r="BH36" i="17"/>
  <c r="BH41" i="17"/>
  <c r="BH34" i="17"/>
  <c r="BH38" i="17"/>
  <c r="BH9" i="17"/>
  <c r="BH32" i="17"/>
  <c r="BH42" i="17"/>
  <c r="BH11" i="17"/>
  <c r="BH39" i="17"/>
  <c r="BI22" i="17" l="1"/>
  <c r="BI23" i="17"/>
  <c r="BI24" i="17"/>
  <c r="BI14" i="17"/>
  <c r="BI21" i="17"/>
  <c r="BI20" i="17"/>
  <c r="BI19" i="17"/>
  <c r="BI18" i="17"/>
  <c r="BI16" i="17"/>
  <c r="BI17" i="17"/>
  <c r="BI40" i="17"/>
  <c r="BJ7" i="17"/>
  <c r="BI36" i="17"/>
  <c r="BI39" i="17"/>
  <c r="BI32" i="17"/>
  <c r="BI30" i="17"/>
  <c r="BI41" i="17"/>
  <c r="BI15" i="17"/>
  <c r="BI37" i="17"/>
  <c r="BI9" i="17"/>
  <c r="BI43" i="17"/>
  <c r="BI11" i="17"/>
  <c r="BI45" i="17"/>
  <c r="BI29" i="17"/>
  <c r="BI33" i="17"/>
  <c r="BI42" i="17"/>
  <c r="BI47" i="17"/>
  <c r="BI12" i="17"/>
  <c r="BI34" i="17"/>
  <c r="BI44" i="17"/>
  <c r="BI38" i="17"/>
  <c r="BI35" i="17"/>
  <c r="BI46" i="17"/>
  <c r="BI13" i="17"/>
  <c r="BI31" i="17"/>
  <c r="BJ47" i="17"/>
  <c r="BJ23" i="17" l="1"/>
  <c r="BJ22" i="17"/>
  <c r="BJ24" i="17"/>
  <c r="BJ21" i="17"/>
  <c r="BJ20" i="17"/>
  <c r="BJ18" i="17"/>
  <c r="BJ14" i="17"/>
  <c r="BJ43" i="17"/>
  <c r="BJ19" i="17"/>
  <c r="BJ45" i="17"/>
  <c r="BJ38" i="17"/>
  <c r="BJ16" i="17"/>
  <c r="BJ17" i="17"/>
  <c r="BJ36" i="17"/>
  <c r="BJ44" i="17"/>
  <c r="BJ46" i="17"/>
  <c r="BJ9" i="17"/>
  <c r="BJ12" i="17"/>
  <c r="BJ29" i="17"/>
  <c r="BJ15" i="17"/>
  <c r="BJ37" i="17"/>
  <c r="BJ34" i="17"/>
  <c r="BJ35" i="17"/>
  <c r="BJ39" i="17"/>
  <c r="BJ13" i="17"/>
  <c r="BJ40" i="17"/>
  <c r="BJ11" i="17"/>
  <c r="BJ33" i="17"/>
  <c r="BJ41" i="17"/>
  <c r="BK7" i="17"/>
  <c r="BJ30" i="17"/>
  <c r="BJ42" i="17"/>
  <c r="BJ32" i="17"/>
  <c r="BJ31" i="17"/>
  <c r="BK24" i="17" l="1"/>
  <c r="BK23" i="17"/>
  <c r="BK22" i="17"/>
  <c r="BK14" i="17"/>
  <c r="BK21" i="17"/>
  <c r="BK20" i="17"/>
  <c r="BK19" i="17"/>
  <c r="BK18" i="17"/>
  <c r="BK16" i="17"/>
  <c r="BK17" i="17"/>
  <c r="BK46" i="17"/>
  <c r="BK40" i="17"/>
  <c r="BK38" i="17"/>
  <c r="BK47" i="17"/>
  <c r="BK11" i="17"/>
  <c r="BK39" i="17"/>
  <c r="BK37" i="17"/>
  <c r="BK30" i="17"/>
  <c r="BK44" i="17"/>
  <c r="BL7" i="17"/>
  <c r="BK41" i="17"/>
  <c r="BK12" i="17"/>
  <c r="BK42" i="17"/>
  <c r="BK13" i="17"/>
  <c r="BK34" i="17"/>
  <c r="BK45" i="17"/>
  <c r="BK29" i="17"/>
  <c r="BK33" i="17"/>
  <c r="BK31" i="17"/>
  <c r="BK43" i="17"/>
  <c r="BK36" i="17"/>
  <c r="BK15" i="17"/>
  <c r="BK9" i="17"/>
  <c r="BK32" i="17"/>
  <c r="BK35" i="17"/>
  <c r="BL24" i="17" l="1"/>
  <c r="BL23" i="17"/>
  <c r="BL22" i="17"/>
  <c r="BL14" i="17"/>
  <c r="BL21" i="17"/>
  <c r="BL20" i="17"/>
  <c r="BL19" i="17"/>
  <c r="BL18" i="17"/>
  <c r="BL16" i="17"/>
  <c r="BL17" i="17"/>
  <c r="BL46" i="17"/>
  <c r="BL47" i="17"/>
  <c r="BL36" i="17"/>
  <c r="BL32" i="17"/>
  <c r="BL29" i="17"/>
  <c r="BL15" i="17"/>
  <c r="BL40" i="17"/>
  <c r="BL35" i="17"/>
  <c r="BL38" i="17"/>
  <c r="BL9" i="17"/>
  <c r="BL41" i="17"/>
  <c r="BL30" i="17"/>
  <c r="BL43" i="17"/>
  <c r="BL11" i="17"/>
  <c r="BL42" i="17"/>
  <c r="BL33" i="17"/>
  <c r="BL34" i="17"/>
  <c r="BL37" i="17"/>
  <c r="BL45" i="17"/>
  <c r="BL44" i="17"/>
  <c r="BL12" i="17"/>
  <c r="BL13" i="17"/>
  <c r="BL31" i="17"/>
  <c r="BL39" i="1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<sst xmlns="http://schemas.openxmlformats.org/spreadsheetml/2006/main" count="83" uniqueCount="54">
  <si>
    <t>Task 4</t>
  </si>
  <si>
    <t>Task 5</t>
  </si>
  <si>
    <t>Category</t>
  </si>
  <si>
    <t>Goal</t>
  </si>
  <si>
    <t>Milestone</t>
  </si>
  <si>
    <t>Progress</t>
  </si>
  <si>
    <t>Start</t>
  </si>
  <si>
    <t>Med Risk</t>
  </si>
  <si>
    <t>Low Risk</t>
  </si>
  <si>
    <t>High Risk</t>
  </si>
  <si>
    <t>On Track</t>
  </si>
  <si>
    <t>Unassigned</t>
  </si>
  <si>
    <t>To add more data, Insert new rows ABOVE this one</t>
  </si>
  <si>
    <t>Assigned to</t>
  </si>
  <si>
    <t>Days</t>
  </si>
  <si>
    <t>On track</t>
  </si>
  <si>
    <t>Low risk</t>
  </si>
  <si>
    <t>Med risk</t>
  </si>
  <si>
    <t>High risk</t>
  </si>
  <si>
    <t>Proposals</t>
  </si>
  <si>
    <t>Document review</t>
  </si>
  <si>
    <t>Bid date</t>
  </si>
  <si>
    <t>Award date</t>
  </si>
  <si>
    <t>Finalize</t>
  </si>
  <si>
    <t>Feasibility study</t>
  </si>
  <si>
    <t>Submit permit applications</t>
  </si>
  <si>
    <t>Design proposal</t>
  </si>
  <si>
    <t>Materials</t>
  </si>
  <si>
    <t>Equipment</t>
  </si>
  <si>
    <t>Environment</t>
  </si>
  <si>
    <t>System test</t>
  </si>
  <si>
    <t>Issues/bugs</t>
  </si>
  <si>
    <t>PROJECT: LI4</t>
  </si>
  <si>
    <t>ETAPA 1: Conceção e Engenharia de Requisitos Assistida por LLM</t>
  </si>
  <si>
    <t>Etapa 2 — Arquitetura e Design do Software utilizando LLM</t>
  </si>
  <si>
    <t>Etapa 3 — Implementação e Desenvolvimento Assistido por LLM</t>
  </si>
  <si>
    <t>Etapa 4 — Verificação, Validação e Avaliação da Qualidade do Software Produzido</t>
  </si>
  <si>
    <t>Contextualização</t>
  </si>
  <si>
    <t>Análise do Caso de Estudo</t>
  </si>
  <si>
    <t>Recursos e Equipa de Trabalho</t>
  </si>
  <si>
    <t>Plano de Execução do Projeto</t>
  </si>
  <si>
    <t xml:space="preserve">Análise da Viabilidade </t>
  </si>
  <si>
    <t>Motivação e Objetivos</t>
  </si>
  <si>
    <t>Simulação de Entrevistas com Stakeholders</t>
  </si>
  <si>
    <t>Levantamento de Requisitos</t>
  </si>
  <si>
    <t>Organização dos Requisitos Levantados(Funcionais e não funcionais)</t>
  </si>
  <si>
    <t>Análise e Refinação dos requisitos</t>
  </si>
  <si>
    <t>Modelação Concetual</t>
  </si>
  <si>
    <t>Identificação de e especificação Use Cases</t>
  </si>
  <si>
    <t>Modelação de modelo de Dominio - UML</t>
  </si>
  <si>
    <t>Grupo</t>
  </si>
  <si>
    <t>Descrição da Etapa</t>
  </si>
  <si>
    <t>Inicio do Desenvolvimento:</t>
  </si>
  <si>
    <t>Legenda: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</si>
</sst>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_(* \(#,##0.00\);_(* &quot;-&quot;??_);_(@_)"/>
    <numFmt numFmtId="164" formatCode="d"/>
  </numFmts>
  <fonts count="26" x14ac:knownFonts="1">
    <font>
      <sz val="11"/>
      <color theme="1"/>
      <name val="Calibri"/>
      <family val="2"/>
      <scheme val="minor"/>
    </font>
    <font>
      <sz val="10"/>
      <name val="Calibri"/>
      <family val="2"/>
      <scheme val="minor"/>
    </font>
    <font>
      <u/>
      <sz val="11"/>
      <color indexed="12"/>
      <name val="Arial"/>
      <family val="2"/>
    </font>
    <font>
      <sz val="11"/>
      <name val="Calibri"/>
      <family val="2"/>
      <scheme val="minor"/>
    </font>
    <font>
      <sz val="11"/>
      <color theme="1"/>
      <name val="Calibri"/>
      <family val="2"/>
      <scheme val="minor"/>
    </font>
    <font>
      <sz val="14"/>
      <color theme="1"/>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sz val="11"/>
      <color theme="0"/>
      <name val="Calibri"/>
      <family val="2"/>
      <scheme val="minor"/>
    </font>
    <font>
      <b/>
      <sz val="10"/>
      <color theme="0"/>
      <name val="Calibri"/>
      <family val="2"/>
      <scheme val="minor"/>
    </font>
    <font>
      <b/>
      <sz val="14"/>
      <name val="Calibri"/>
      <family val="2"/>
      <scheme val="minor"/>
    </font>
    <font>
      <b/>
      <sz val="14"/>
      <color theme="0"/>
      <name val="Calibri"/>
      <family val="2"/>
      <scheme val="minor"/>
    </font>
    <font>
      <sz val="16"/>
      <color theme="1"/>
      <name val="Calibri"/>
      <family val="2"/>
      <scheme val="minor"/>
    </font>
    <font>
      <b/>
      <sz val="11"/>
      <name val="Calibri"/>
      <family val="2"/>
      <scheme val="minor"/>
    </font>
    <font>
      <sz val="14"/>
      <name val="Calibri"/>
      <family val="2"/>
      <scheme val="minor"/>
    </font>
    <font>
      <sz val="16"/>
      <color rgb="FF000000"/>
      <name val="Calibri"/>
      <family val="2"/>
      <scheme val="minor"/>
    </font>
    <font>
      <b/>
      <sz val="11"/>
      <color theme="0"/>
      <name val="Calibri"/>
      <family val="2"/>
      <scheme val="minor"/>
    </font>
    <font>
      <b/>
      <sz val="20"/>
      <name val="Calibri"/>
      <family val="2"/>
      <scheme val="major"/>
    </font>
    <font>
      <b/>
      <sz val="22"/>
      <name val="Calibri"/>
      <family val="2"/>
      <scheme val="major"/>
    </font>
    <font>
      <b/>
      <sz val="16"/>
      <name val="Calibri"/>
      <family val="2"/>
      <scheme val="minor"/>
    </font>
    <font>
      <b/>
      <sz val="26"/>
      <name val="Calibri"/>
      <family val="2"/>
      <scheme val="major"/>
    </font>
    <font>
      <b/>
      <sz val="16"/>
      <color rgb="FF000000"/>
      <name val="Calibri"/>
      <family val="2"/>
      <scheme val="minor"/>
    </font>
    <font>
      <b/>
      <sz val="16"/>
      <name val="Calibri"/>
      <family val="2"/>
      <scheme val="major"/>
    </font>
    <font>
      <b/>
      <sz val="12"/>
      <color theme="8" tint="-0.499984740745262"/>
      <name val="Calibri"/>
      <family val="2"/>
      <scheme val="minor"/>
    </font>
    <font>
      <b/>
      <sz val="11"/>
      <color theme="8" tint="-0.499984740745262"/>
      <name val="Calibri"/>
      <family val="2"/>
      <scheme val="minor"/>
    </font>
  </fonts>
  <fills count="11">
    <fill>
      <patternFill patternType="none"/>
    </fill>
    <fill>
      <patternFill patternType="gray125"/>
    </fill>
    <fill>
      <patternFill patternType="solid">
        <fgColor theme="0" tint="-4.9989318521683403E-2"/>
        <bgColor indexed="64"/>
      </patternFill>
    </fill>
    <fill>
      <patternFill patternType="solid">
        <fgColor theme="6"/>
      </patternFill>
    </fill>
    <fill>
      <patternFill patternType="solid">
        <fgColor theme="2" tint="-9.9978637043366805E-2"/>
        <bgColor indexed="64"/>
      </patternFill>
    </fill>
    <fill>
      <patternFill patternType="solid">
        <fgColor theme="6"/>
        <bgColor indexed="64"/>
      </patternFill>
    </fill>
    <fill>
      <patternFill patternType="solid">
        <fgColor theme="7" tint="-0.249977111117893"/>
        <bgColor indexed="64"/>
      </patternFill>
    </fill>
    <fill>
      <patternFill patternType="solid">
        <fgColor theme="9"/>
        <bgColor indexed="64"/>
      </patternFill>
    </fill>
    <fill>
      <patternFill patternType="solid">
        <fgColor theme="5"/>
        <bgColor indexed="64"/>
      </patternFill>
    </fill>
    <fill>
      <patternFill patternType="solid">
        <fgColor theme="1" tint="0.249977111117893"/>
        <bgColor indexed="64"/>
      </patternFill>
    </fill>
    <fill>
      <patternFill patternType="solid">
        <fgColor theme="0" tint="-0.249977111117893"/>
        <bgColor indexed="64"/>
      </patternFill>
    </fill>
  </fills>
  <borders count="14">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bottom/>
      <diagonal/>
    </border>
    <border>
      <left/>
      <right style="thin">
        <color theme="0" tint="-0.34998626667073579"/>
      </right>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right/>
      <top style="thin">
        <color theme="0" tint="-0.499984740745262"/>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14993743705557422"/>
      </left>
      <right style="thin">
        <color theme="0" tint="-0.14993743705557422"/>
      </right>
      <top/>
      <bottom/>
      <diagonal/>
    </border>
    <border>
      <left style="thin">
        <color theme="0" tint="-0.34998626667073579"/>
      </left>
      <right/>
      <top style="thin">
        <color theme="0" tint="-0.499984740745262"/>
      </top>
      <bottom/>
      <diagonal/>
    </border>
    <border>
      <left/>
      <right style="thin">
        <color theme="0" tint="-0.34998626667073579"/>
      </right>
      <top style="thin">
        <color theme="0" tint="-0.499984740745262"/>
      </top>
      <bottom/>
      <diagonal/>
    </border>
    <border>
      <left/>
      <right/>
      <top/>
      <bottom style="thin">
        <color theme="0" tint="-0.499984740745262"/>
      </bottom>
      <diagonal/>
    </border>
    <border>
      <left style="thin">
        <color theme="0" tint="-0.34998626667073579"/>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14999847407452621"/>
      </left>
      <right/>
      <top/>
      <bottom style="thin">
        <color theme="0"/>
      </bottom>
      <diagonal/>
    </border>
  </borders>
  <cellStyleXfs count="12">
    <xf numFmtId="0" fontId="0" fillId="0" borderId="0"/>
    <xf numFmtId="0" fontId="2" fillId="0" borderId="0" applyNumberFormat="0" applyFill="0" applyBorder="0" applyAlignment="0" applyProtection="0">
      <alignment vertical="top"/>
      <protection locked="0"/>
    </xf>
    <xf numFmtId="9" fontId="4" fillId="0" borderId="0" applyFont="0" applyFill="0" applyBorder="0" applyProtection="0">
      <alignment horizontal="center" vertical="center"/>
    </xf>
    <xf numFmtId="0" fontId="9" fillId="0" borderId="0"/>
    <xf numFmtId="43" fontId="4" fillId="0" borderId="1"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vertical="center" indent="1"/>
    </xf>
    <xf numFmtId="14" fontId="4" fillId="0" borderId="0" applyFont="0" applyFill="0" applyBorder="0">
      <alignment horizontal="center" vertical="center"/>
    </xf>
    <xf numFmtId="37" fontId="4" fillId="0" borderId="0" applyFont="0" applyFill="0" applyBorder="0" applyProtection="0">
      <alignment horizontal="center" vertical="center"/>
    </xf>
    <xf numFmtId="0" fontId="9" fillId="3" borderId="0" applyNumberFormat="0" applyBorder="0" applyAlignment="0" applyProtection="0"/>
  </cellStyleXfs>
  <cellXfs count="72">
    <xf numFmtId="0" fontId="0" fillId="0" borderId="0" xfId="0"/>
    <xf numFmtId="0" fontId="0" fillId="0" borderId="0" xfId="0" applyAlignment="1">
      <alignment vertical="center"/>
    </xf>
    <xf numFmtId="0" fontId="0" fillId="0" borderId="0" xfId="0" applyAlignment="1">
      <alignment horizontal="center"/>
    </xf>
    <xf numFmtId="0" fontId="0" fillId="0" borderId="0" xfId="0" applyAlignment="1">
      <alignment horizontal="right" vertical="center"/>
    </xf>
    <xf numFmtId="0" fontId="7" fillId="0" borderId="0" xfId="0" applyFont="1"/>
    <xf numFmtId="0" fontId="8" fillId="0" borderId="0" xfId="1" applyFont="1" applyAlignment="1" applyProtection="1"/>
    <xf numFmtId="0" fontId="9" fillId="0" borderId="0" xfId="3"/>
    <xf numFmtId="0" fontId="9" fillId="0" borderId="0" xfId="3" applyAlignment="1">
      <alignment wrapText="1"/>
    </xf>
    <xf numFmtId="0" fontId="9" fillId="0" borderId="0" xfId="0" applyFont="1" applyAlignment="1">
      <alignment horizontal="center"/>
    </xf>
    <xf numFmtId="0" fontId="0" fillId="0" borderId="0" xfId="0" applyAlignment="1">
      <alignment horizontal="center" vertical="center" wrapText="1"/>
    </xf>
    <xf numFmtId="9" fontId="0" fillId="0" borderId="0" xfId="2" applyFont="1" applyFill="1" applyBorder="1">
      <alignment horizontal="center" vertical="center"/>
    </xf>
    <xf numFmtId="14" fontId="0" fillId="0" borderId="0" xfId="9" applyFont="1" applyFill="1" applyBorder="1">
      <alignment horizontal="center" vertical="center"/>
    </xf>
    <xf numFmtId="37" fontId="0" fillId="0" borderId="0" xfId="10" applyFont="1" applyFill="1" applyBorder="1">
      <alignment horizontal="center" vertical="center"/>
    </xf>
    <xf numFmtId="0" fontId="0" fillId="0" borderId="0" xfId="0" applyAlignment="1">
      <alignment horizontal="left" wrapText="1" indent="2"/>
    </xf>
    <xf numFmtId="0" fontId="0" fillId="0" borderId="4" xfId="0" applyBorder="1" applyAlignment="1">
      <alignment horizontal="center" vertical="center"/>
    </xf>
    <xf numFmtId="0" fontId="0" fillId="0" borderId="7" xfId="0" applyBorder="1" applyAlignment="1">
      <alignment vertical="center"/>
    </xf>
    <xf numFmtId="0" fontId="0" fillId="0" borderId="6" xfId="0" applyBorder="1" applyAlignment="1">
      <alignment vertical="center"/>
    </xf>
    <xf numFmtId="0" fontId="3" fillId="0" borderId="0" xfId="0" applyFont="1" applyAlignment="1">
      <alignment horizontal="center" vertical="center"/>
    </xf>
    <xf numFmtId="9" fontId="14" fillId="0" borderId="0" xfId="2" applyFont="1" applyFill="1" applyBorder="1">
      <alignment horizontal="center" vertical="center"/>
    </xf>
    <xf numFmtId="14" fontId="3" fillId="0" borderId="0" xfId="9" applyFont="1" applyFill="1" applyBorder="1">
      <alignment horizontal="center" vertical="center"/>
    </xf>
    <xf numFmtId="37" fontId="3" fillId="0" borderId="0" xfId="10" applyFont="1" applyFill="1" applyBorder="1">
      <alignment horizontal="center" vertical="center"/>
    </xf>
    <xf numFmtId="0" fontId="3" fillId="0" borderId="0" xfId="0" applyFont="1" applyAlignment="1">
      <alignment horizontal="left" vertical="center" wrapText="1" indent="2"/>
    </xf>
    <xf numFmtId="0" fontId="3" fillId="2" borderId="0" xfId="0" applyFont="1" applyFill="1"/>
    <xf numFmtId="0" fontId="19" fillId="0" borderId="0" xfId="5" applyFont="1" applyFill="1" applyBorder="1" applyAlignment="1">
      <alignment horizontal="left" vertical="center"/>
    </xf>
    <xf numFmtId="0" fontId="18" fillId="0" borderId="0" xfId="0" applyFont="1" applyAlignment="1">
      <alignment horizontal="left" vertical="center"/>
    </xf>
    <xf numFmtId="0" fontId="3" fillId="0" borderId="0" xfId="0" applyFont="1" applyAlignment="1">
      <alignment vertical="center"/>
    </xf>
    <xf numFmtId="0" fontId="15" fillId="0" borderId="0" xfId="0" applyFont="1" applyAlignment="1">
      <alignment horizontal="center" vertical="center"/>
    </xf>
    <xf numFmtId="0" fontId="20" fillId="0" borderId="0" xfId="6" applyFont="1" applyFill="1" applyAlignment="1">
      <alignment horizontal="left" vertical="center" indent="2"/>
    </xf>
    <xf numFmtId="0" fontId="15" fillId="0" borderId="0" xfId="6" applyFont="1" applyFill="1" applyAlignment="1">
      <alignment horizontal="left" vertical="center" indent="2"/>
    </xf>
    <xf numFmtId="0" fontId="3" fillId="0" borderId="0" xfId="0" applyFont="1" applyAlignment="1">
      <alignment horizontal="left" vertical="center" indent="2"/>
    </xf>
    <xf numFmtId="0" fontId="3" fillId="0" borderId="0" xfId="0" applyFont="1"/>
    <xf numFmtId="0" fontId="3" fillId="0" borderId="0" xfId="0" applyFont="1" applyAlignment="1">
      <alignment horizontal="center"/>
    </xf>
    <xf numFmtId="0" fontId="3" fillId="0" borderId="0" xfId="0" applyFont="1" applyAlignment="1">
      <alignment horizontal="right" vertical="center"/>
    </xf>
    <xf numFmtId="0" fontId="3" fillId="0" borderId="0" xfId="8" applyFont="1" applyFill="1" applyAlignment="1">
      <alignment horizontal="left" vertical="center" indent="2"/>
    </xf>
    <xf numFmtId="14" fontId="3" fillId="0" borderId="0" xfId="9" applyFont="1" applyFill="1" applyBorder="1" applyAlignment="1">
      <alignment horizontal="left" vertical="center"/>
    </xf>
    <xf numFmtId="14" fontId="3" fillId="0" borderId="0" xfId="9" applyFont="1" applyFill="1" applyBorder="1" applyAlignment="1">
      <alignment horizontal="left" vertical="center" indent="2"/>
    </xf>
    <xf numFmtId="0" fontId="3" fillId="0" borderId="0" xfId="0" applyFont="1" applyAlignment="1">
      <alignment horizontal="left" vertical="center"/>
    </xf>
    <xf numFmtId="0" fontId="3" fillId="0" borderId="3" xfId="0" applyFont="1" applyBorder="1"/>
    <xf numFmtId="0" fontId="15" fillId="0" borderId="0" xfId="0" applyFont="1" applyAlignment="1">
      <alignment vertical="center"/>
    </xf>
    <xf numFmtId="14" fontId="3" fillId="0" borderId="0" xfId="9" applyFont="1" applyFill="1">
      <alignment horizontal="center" vertical="center"/>
    </xf>
    <xf numFmtId="37" fontId="3" fillId="0" borderId="0" xfId="10" applyFont="1" applyFill="1">
      <alignment horizontal="center" vertical="center"/>
    </xf>
    <xf numFmtId="0" fontId="0" fillId="0" borderId="0" xfId="0" applyAlignment="1">
      <alignment horizontal="center" vertical="center"/>
    </xf>
    <xf numFmtId="0" fontId="10" fillId="0" borderId="3" xfId="0" applyFont="1" applyBorder="1" applyAlignment="1">
      <alignment horizontal="center" vertical="center" wrapText="1"/>
    </xf>
    <xf numFmtId="0" fontId="0" fillId="0" borderId="13" xfId="0" applyBorder="1" applyAlignment="1">
      <alignment vertical="center"/>
    </xf>
    <xf numFmtId="0" fontId="13" fillId="0" borderId="10" xfId="0" applyFont="1" applyBorder="1"/>
    <xf numFmtId="0" fontId="20" fillId="0" borderId="10" xfId="0" applyFont="1" applyBorder="1" applyAlignment="1">
      <alignment vertical="center"/>
    </xf>
    <xf numFmtId="0" fontId="22" fillId="0" borderId="10" xfId="0" applyFont="1" applyBorder="1" applyAlignment="1">
      <alignment vertical="center"/>
    </xf>
    <xf numFmtId="0" fontId="16" fillId="0" borderId="10" xfId="0" applyFont="1" applyBorder="1" applyAlignment="1">
      <alignment vertical="center"/>
    </xf>
    <xf numFmtId="164" fontId="1" fillId="10" borderId="8" xfId="0" applyNumberFormat="1" applyFont="1" applyFill="1" applyBorder="1" applyAlignment="1">
      <alignment horizontal="center" vertical="center"/>
    </xf>
    <xf numFmtId="164" fontId="1" fillId="10" borderId="5" xfId="0" applyNumberFormat="1" applyFont="1" applyFill="1" applyBorder="1" applyAlignment="1">
      <alignment horizontal="center" vertical="center"/>
    </xf>
    <xf numFmtId="164" fontId="1" fillId="10" borderId="9" xfId="0" applyNumberFormat="1" applyFont="1" applyFill="1" applyBorder="1" applyAlignment="1">
      <alignment horizontal="center" vertical="center"/>
    </xf>
    <xf numFmtId="164" fontId="1" fillId="10" borderId="2" xfId="0" applyNumberFormat="1" applyFont="1" applyFill="1" applyBorder="1" applyAlignment="1">
      <alignment horizontal="center" vertical="center"/>
    </xf>
    <xf numFmtId="164" fontId="1" fillId="10" borderId="0" xfId="0" applyNumberFormat="1" applyFont="1" applyFill="1" applyAlignment="1">
      <alignment horizontal="center" vertical="center"/>
    </xf>
    <xf numFmtId="164" fontId="1" fillId="10" borderId="11" xfId="0" applyNumberFormat="1" applyFont="1" applyFill="1" applyBorder="1" applyAlignment="1">
      <alignment horizontal="center" vertical="center"/>
    </xf>
    <xf numFmtId="164" fontId="1" fillId="10" borderId="12" xfId="0" applyNumberFormat="1" applyFont="1" applyFill="1" applyBorder="1" applyAlignment="1">
      <alignment horizontal="center" vertical="center"/>
    </xf>
    <xf numFmtId="164" fontId="1" fillId="10" borderId="3" xfId="0" applyNumberFormat="1" applyFont="1" applyFill="1" applyBorder="1" applyAlignment="1">
      <alignment horizontal="center" vertical="center"/>
    </xf>
    <xf numFmtId="0" fontId="1" fillId="10" borderId="1" xfId="0" applyFont="1" applyFill="1" applyBorder="1" applyAlignment="1">
      <alignment horizontal="center" vertical="center" shrinkToFit="1"/>
    </xf>
    <xf numFmtId="0" fontId="17" fillId="9" borderId="0" xfId="0" applyFont="1" applyFill="1" applyAlignment="1">
      <alignment horizontal="left" vertical="center" indent="1"/>
    </xf>
    <xf numFmtId="0" fontId="17" fillId="9" borderId="0" xfId="0" applyFont="1" applyFill="1" applyAlignment="1">
      <alignment horizontal="center" vertical="center" wrapText="1"/>
    </xf>
    <xf numFmtId="0" fontId="3" fillId="0" borderId="0" xfId="0" applyFont="1" applyAlignment="1">
      <alignment horizontal="left" vertical="center" wrapText="1" indent="1"/>
    </xf>
    <xf numFmtId="0" fontId="0" fillId="0" borderId="0" xfId="0" applyAlignment="1">
      <alignment horizontal="left" vertical="center" wrapText="1" indent="1"/>
    </xf>
    <xf numFmtId="0" fontId="23" fillId="0" borderId="0" xfId="5" applyFont="1" applyFill="1" applyAlignment="1">
      <alignment horizontal="left" vertical="center" indent="2"/>
    </xf>
    <xf numFmtId="0" fontId="24" fillId="0" borderId="0" xfId="0" applyFont="1" applyAlignment="1">
      <alignment horizontal="left" vertical="center" wrapText="1"/>
    </xf>
    <xf numFmtId="0" fontId="25" fillId="0" borderId="0" xfId="0" applyFont="1" applyAlignment="1">
      <alignment horizontal="left" vertical="center" wrapText="1"/>
    </xf>
    <xf numFmtId="0" fontId="12" fillId="6" borderId="0" xfId="0" applyFont="1" applyFill="1" applyAlignment="1">
      <alignment horizontal="center" vertical="center"/>
    </xf>
    <xf numFmtId="0" fontId="11" fillId="4" borderId="0" xfId="0" applyFont="1" applyFill="1" applyAlignment="1">
      <alignment horizontal="center" vertical="center"/>
    </xf>
    <xf numFmtId="0" fontId="21" fillId="2" borderId="0" xfId="5" applyFont="1" applyFill="1" applyAlignment="1">
      <alignment horizontal="left" vertical="center" indent="1"/>
    </xf>
    <xf numFmtId="0" fontId="15" fillId="2" borderId="0" xfId="0" applyFont="1" applyFill="1" applyAlignment="1">
      <alignment horizontal="center" vertical="center"/>
    </xf>
    <xf numFmtId="0" fontId="3" fillId="2" borderId="0" xfId="0" applyFont="1" applyFill="1" applyAlignment="1">
      <alignment horizontal="center" vertical="center"/>
    </xf>
    <xf numFmtId="0" fontId="12" fillId="5" borderId="0" xfId="11" applyFont="1" applyFill="1" applyAlignment="1">
      <alignment horizontal="center" vertical="center"/>
    </xf>
    <xf numFmtId="0" fontId="11" fillId="7" borderId="0" xfId="0" applyFont="1" applyFill="1" applyAlignment="1">
      <alignment horizontal="center" vertical="center"/>
    </xf>
    <xf numFmtId="0" fontId="12" fillId="8" borderId="0" xfId="0" applyFont="1" applyFill="1" applyAlignment="1">
      <alignment horizontal="center" vertical="center"/>
    </xf>
  </cellXfs>
  <cellStyles count="12">
    <cellStyle name="Accent3" xfId="11" builtinId="37"/>
    <cellStyle name="Comma" xfId="4" builtinId="3" customBuiltin="1"/>
    <cellStyle name="Comma [0]" xfId="10" builtinId="6" customBuiltin="1"/>
    <cellStyle name="Date" xfId="9"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ormal" xfId="0" builtinId="0"/>
    <cellStyle name="Percent" xfId="2" builtinId="5" customBuiltin="1"/>
    <cellStyle name="Title" xfId="5" builtinId="15" customBuiltin="1"/>
    <cellStyle name="zHiddenText" xfId="3" xr:uid="{26E66EE6-E33F-4D77-BAE4-0FB4F5BBF673}"/>
  </cellStyles>
  <dxfs count="70">
    <dxf>
      <font>
        <color auto="1"/>
      </font>
      <fill>
        <patternFill>
          <bgColor theme="0" tint="-0.14996795556505021"/>
        </patternFill>
      </fill>
      <border>
        <left/>
        <right/>
        <top/>
        <bottom style="thin">
          <color theme="0" tint="-0.34998626667073579"/>
        </bottom>
      </border>
    </dxf>
    <dxf>
      <fill>
        <patternFill>
          <bgColor theme="2" tint="-9.9948118533890809E-2"/>
        </patternFill>
      </fill>
      <border>
        <left style="thin">
          <color theme="2" tint="-9.9948118533890809E-2"/>
        </left>
        <right style="thin">
          <color theme="2" tint="-9.9948118533890809E-2"/>
        </right>
        <top style="thin">
          <color theme="0"/>
        </top>
        <bottom style="thin">
          <color theme="0"/>
        </bottom>
        <vertical/>
        <horizontal/>
      </border>
    </dxf>
    <dxf>
      <fill>
        <patternFill>
          <bgColor theme="9" tint="-0.24994659260841701"/>
        </patternFill>
      </fill>
      <border>
        <left style="thin">
          <color theme="9" tint="-0.24994659260841701"/>
        </left>
        <right style="thin">
          <color theme="9" tint="-0.24994659260841701"/>
        </right>
        <top style="thin">
          <color theme="0"/>
        </top>
        <bottom style="thin">
          <color theme="0"/>
        </bottom>
        <vertical/>
        <horizontal/>
      </border>
    </dxf>
    <dxf>
      <fill>
        <patternFill>
          <bgColor theme="4"/>
        </patternFill>
      </fill>
      <border>
        <left style="thin">
          <color theme="4"/>
        </left>
        <right style="thin">
          <color theme="4"/>
        </right>
        <top style="thin">
          <color theme="0"/>
        </top>
        <bottom style="thin">
          <color theme="0"/>
        </bottom>
      </border>
    </dxf>
    <dxf>
      <fill>
        <patternFill>
          <bgColor theme="7" tint="-0.24994659260841701"/>
        </patternFill>
      </fill>
      <border>
        <left style="thin">
          <color theme="7" tint="-0.24994659260841701"/>
        </left>
        <right style="thin">
          <color theme="7" tint="-0.24994659260841701"/>
        </right>
        <top style="thin">
          <color theme="0"/>
        </top>
        <bottom style="thin">
          <color theme="0"/>
        </bottom>
      </border>
    </dxf>
    <dxf>
      <fill>
        <patternFill>
          <bgColor theme="6"/>
        </patternFill>
      </fill>
      <border>
        <left style="thin">
          <color theme="6"/>
        </left>
        <right style="thin">
          <color theme="6"/>
        </right>
        <top style="thin">
          <color theme="0"/>
        </top>
        <bottom style="thin">
          <color theme="0"/>
        </bottom>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ill>
        <patternFill>
          <bgColor theme="2" tint="-9.9948118533890809E-2"/>
        </patternFill>
      </fill>
      <border>
        <left/>
        <right/>
        <top/>
        <bottom/>
        <vertical/>
        <horizontal/>
      </border>
    </dxf>
    <dxf>
      <fill>
        <patternFill>
          <bgColor theme="9"/>
        </patternFill>
      </fill>
      <border>
        <left/>
        <right/>
        <top/>
        <bottom/>
      </border>
    </dxf>
    <dxf>
      <fill>
        <patternFill>
          <bgColor theme="7" tint="-0.24994659260841701"/>
        </patternFill>
      </fill>
      <border>
        <left/>
        <right/>
        <top/>
        <bottom/>
      </border>
    </dxf>
    <dxf>
      <fill>
        <patternFill>
          <bgColor theme="6"/>
        </patternFill>
      </fill>
      <border>
        <left/>
        <right/>
        <top/>
        <bottom/>
      </border>
    </dxf>
    <dxf>
      <fill>
        <patternFill>
          <bgColor theme="5"/>
        </patternFill>
      </fill>
      <border>
        <left/>
        <right/>
        <top/>
        <bottom/>
        <vertical/>
        <horizontal/>
      </border>
    </dxf>
    <dxf>
      <fill>
        <patternFill>
          <bgColor theme="2" tint="-9.9948118533890809E-2"/>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ill>
        <patternFill>
          <bgColor theme="9"/>
        </patternFill>
      </fill>
      <border>
        <left/>
        <right/>
        <top/>
        <bottom/>
      </border>
    </dxf>
    <dxf>
      <fill>
        <patternFill>
          <bgColor theme="7" tint="-0.24994659260841701"/>
        </patternFill>
      </fill>
      <border>
        <left/>
        <right/>
        <top/>
        <bottom/>
      </border>
    </dxf>
    <dxf>
      <fill>
        <patternFill>
          <bgColor theme="6"/>
        </patternFill>
      </fill>
      <border>
        <left/>
        <right/>
        <top/>
        <bottom/>
      </border>
    </dxf>
    <dxf>
      <fill>
        <patternFill>
          <bgColor theme="5"/>
        </patternFill>
      </fill>
      <border>
        <left/>
        <right/>
        <top/>
        <bottom/>
        <vertical/>
        <horizontal/>
      </border>
    </dxf>
    <dxf>
      <fill>
        <patternFill>
          <bgColor theme="2" tint="-9.9948118533890809E-2"/>
        </patternFill>
      </fill>
      <border>
        <left/>
        <right/>
        <top/>
        <bottom/>
        <vertical/>
        <horizontal/>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ont>
        <color auto="1"/>
      </font>
      <fill>
        <patternFill>
          <bgColor theme="0" tint="-4.9989318521683403E-2"/>
        </patternFill>
      </fill>
      <border>
        <left/>
        <right/>
        <top/>
        <bottom style="thin">
          <color theme="0" tint="-0.34998626667073579"/>
        </bottom>
        <vertical/>
        <horizontal/>
      </border>
    </dxf>
    <dxf>
      <font>
        <color auto="1"/>
      </font>
      <fill>
        <patternFill>
          <bgColor theme="0" tint="-0.14996795556505021"/>
        </patternFill>
      </fill>
      <border>
        <left/>
        <right/>
        <top/>
        <bottom style="thin">
          <color theme="0" tint="-0.34998626667073579"/>
        </bottom>
      </border>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alignment horizontal="center" vertical="center" textRotation="0" indent="0" justifyLastLine="0" shrinkToFit="0" readingOrder="0"/>
    </dxf>
    <dxf>
      <font>
        <strike val="0"/>
        <outline val="0"/>
        <shadow val="0"/>
        <u val="none"/>
        <vertAlign val="baseline"/>
        <sz val="11"/>
        <name val="Calibri"/>
        <family val="2"/>
        <scheme val="minor"/>
      </font>
      <alignment horizontal="center" vertical="center" textRotation="0" wrapText="0" indent="0" justifyLastLine="0" shrinkToFit="0" readingOrder="0"/>
    </dxf>
    <dxf>
      <font>
        <strike val="0"/>
        <outline val="0"/>
        <shadow val="0"/>
        <u val="none"/>
        <vertAlign val="baseline"/>
        <sz val="11"/>
        <name val="Calibri"/>
        <family val="2"/>
        <scheme val="minor"/>
      </font>
      <alignment horizontal="left" vertical="bottom" textRotation="0" wrapText="1" relativeIndent="1" justifyLastLine="0" shrinkToFit="0" readingOrder="0"/>
    </dxf>
    <dxf>
      <font>
        <strike val="0"/>
        <outline val="0"/>
        <shadow val="0"/>
        <u val="none"/>
        <vertAlign val="baseline"/>
        <sz val="11"/>
        <name val="Calibri"/>
        <family val="2"/>
        <scheme val="minor"/>
      </font>
    </dxf>
    <dxf>
      <font>
        <b/>
        <strike val="0"/>
        <outline val="0"/>
        <shadow val="0"/>
        <u val="none"/>
        <vertAlign val="baseline"/>
        <sz val="11"/>
        <color theme="0"/>
        <name val="Calibri"/>
        <family val="2"/>
        <scheme val="minor"/>
      </font>
      <fill>
        <patternFill patternType="solid">
          <fgColor indexed="64"/>
          <bgColor theme="1" tint="0.249977111117893"/>
        </patternFill>
      </fill>
    </dxf>
    <dxf>
      <border diagonalUp="0" diagonalDown="0">
        <left/>
        <right/>
        <top/>
        <bottom/>
        <vertical/>
        <horizontal/>
      </border>
    </dxf>
    <dxf>
      <border diagonalUp="0" diagonalDown="0">
        <left/>
        <right/>
        <top/>
        <bottom/>
        <vertical/>
        <horizontal/>
      </border>
    </dxf>
    <dxf>
      <border diagonalUp="0" diagonalDown="0">
        <left/>
        <right/>
        <top/>
        <bottom/>
        <vertical/>
        <horizontal/>
      </border>
    </dxf>
    <dxf>
      <fill>
        <patternFill>
          <bgColor theme="0" tint="-4.9989318521683403E-2"/>
        </patternFill>
      </fill>
      <border diagonalUp="0" diagonalDown="0">
        <left/>
        <right/>
        <top/>
        <bottom/>
        <vertical/>
        <horizontal/>
      </border>
    </dxf>
    <dxf>
      <font>
        <b/>
        <color theme="1"/>
      </font>
    </dxf>
    <dxf>
      <font>
        <b val="0"/>
        <i val="0"/>
        <color theme="1"/>
      </font>
      <border diagonalUp="0" diagonalDown="0">
        <left/>
        <right/>
        <top/>
        <bottom/>
        <vertical/>
        <horizontal/>
      </border>
    </dxf>
    <dxf>
      <font>
        <b/>
        <color theme="1"/>
      </font>
      <border diagonalUp="0" diagonalDown="0">
        <left/>
        <right/>
        <top/>
        <bottom/>
        <vertical/>
        <horizontal/>
      </border>
    </dxf>
    <dxf>
      <font>
        <b/>
        <color theme="0"/>
      </font>
      <fill>
        <patternFill patternType="solid">
          <fgColor theme="1" tint="0.24994659260841701"/>
          <bgColor theme="1" tint="0.24994659260841701"/>
        </patternFill>
      </fill>
      <border diagonalUp="0" diagonalDown="0">
        <left/>
        <right/>
        <top/>
        <bottom/>
        <vertical/>
        <horizontal/>
      </border>
    </dxf>
    <dxf>
      <font>
        <color auto="1"/>
      </font>
      <border diagonalUp="0" diagonalDown="0">
        <left/>
        <right/>
        <top/>
        <bottom/>
        <vertical/>
        <horizontal/>
      </border>
    </dxf>
    <dxf>
      <font>
        <color theme="0"/>
      </font>
      <fill>
        <patternFill>
          <bgColor theme="1" tint="0.24994659260841701"/>
        </patternFill>
      </fill>
    </dxf>
    <dxf>
      <font>
        <color theme="0"/>
      </font>
      <fill>
        <patternFill patternType="solid">
          <fgColor indexed="64"/>
          <bgColor theme="1" tint="0.34998626667073579"/>
        </patternFill>
      </fill>
      <border diagonalUp="0" diagonalDown="0">
        <left/>
        <right/>
        <top/>
        <bottom/>
        <vertical/>
        <horizontal/>
      </border>
    </dxf>
    <dxf>
      <font>
        <color auto="1"/>
      </font>
      <fill>
        <patternFill>
          <fgColor theme="0" tint="-0.14996795556505021"/>
          <bgColor theme="0" tint="-0.14993743705557422"/>
        </patternFill>
      </fill>
      <border diagonalUp="0" diagonalDown="0">
        <left/>
        <right/>
        <top/>
        <bottom/>
        <vertical/>
        <horizontal/>
      </border>
    </dxf>
    <dxf>
      <font>
        <strike val="0"/>
        <color auto="1"/>
      </font>
      <border diagonalUp="0" diagonalDown="0">
        <left/>
        <right/>
        <top/>
        <bottom/>
        <vertical/>
        <horizontal/>
      </border>
    </dxf>
  </dxfs>
  <tableStyles count="2" defaultTableStyle="Gantt Table Style" defaultPivotStyle="PivotStyleLight16">
    <tableStyle name="Gantt Table Style" pivot="0" count="4" xr9:uid="{4904D139-63E4-4221-B7C9-C6C5B7A50FAF}">
      <tableStyleElement type="wholeTable" dxfId="69"/>
      <tableStyleElement type="headerRow" dxfId="68"/>
      <tableStyleElement type="firstRowStripe" dxfId="67"/>
      <tableStyleElement type="secondRowStripe" dxfId="66"/>
    </tableStyle>
    <tableStyle name="ToDoList" pivot="0" count="9" xr9:uid="{00000000-0011-0000-FFFF-FFFF00000000}">
      <tableStyleElement type="wholeTable" dxfId="65"/>
      <tableStyleElement type="headerRow" dxfId="64"/>
      <tableStyleElement type="totalRow" dxfId="63"/>
      <tableStyleElement type="firstColumn" dxfId="62"/>
      <tableStyleElement type="lastColumn" dxfId="61"/>
      <tableStyleElement type="firstRowStripe" dxfId="60"/>
      <tableStyleElement type="secondRowStripe" dxfId="59"/>
      <tableStyleElement type="firstColumnStripe" dxfId="58"/>
      <tableStyleElement type="secondColumnStripe" dxfId="5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000000"/>
      <color rgb="FF215881"/>
      <color rgb="FF42648A"/>
      <color rgb="FF969696"/>
      <color rgb="FFC0C0C0"/>
      <color rgb="FF427FC2"/>
      <color rgb="FF44678E"/>
      <color rgb="FF4A6F9C"/>
      <color rgb="FF3969A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styles" Target="styles.xml"/><Relationship Id="rId7" Type="http://schemas.openxmlformats.org/officeDocument/2006/relationships/customXml" Target="../customXml/item1.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 Id="rId9" Type="http://schemas.openxmlformats.org/officeDocument/2006/relationships/customXml" Target="../customXml/item3.xml"/></Relationships>
</file>

<file path=xl/ctrlProps/ctrlProp1.xml><?xml version="1.0" encoding="utf-8"?>
<formControlPr xmlns="http://schemas.microsoft.com/office/spreadsheetml/2009/9/main" objectType="Scroll" dx="39" fmlaLink="$C$7" horiz="1" max="365" page="2" val="0"/>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25400</xdr:colOff>
          <xdr:row>7</xdr:row>
          <xdr:rowOff>63500</xdr:rowOff>
        </xdr:from>
        <xdr:to>
          <xdr:col>63</xdr:col>
          <xdr:colOff>228600</xdr:colOff>
          <xdr:row>7</xdr:row>
          <xdr:rowOff>241300</xdr:rowOff>
        </xdr:to>
        <xdr:sp macro="" textlink="">
          <xdr:nvSpPr>
            <xdr:cNvPr id="16385" name="Scroll Bar 1" descr="Scroll bar to scroll through the Ghantt project timeline." hidden="1">
              <a:extLst>
                <a:ext uri="{63B3BB69-23CF-44E3-9099-C40C66FF867C}">
                  <a14:compatExt spid="_x0000_s16385"/>
                </a:ext>
                <a:ext uri="{FF2B5EF4-FFF2-40B4-BE49-F238E27FC236}">
                  <a16:creationId xmlns:a16="http://schemas.microsoft.com/office/drawing/2014/main" id="{00000000-0008-0000-0000-0000014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D82988E-1813-40AE-BDE7-9F0200A703CB}" name="Milestones4352" displayName="Milestones4352" ref="B9:G44" totalsRowShown="0" headerRowDxfId="56" dataDxfId="55">
  <autoFilter ref="B9:G44" xr:uid="{29E5A880-80D5-4B65-B5FB-8FB3913D3D27}">
    <filterColumn colId="0" hiddenButton="1"/>
    <filterColumn colId="1" hiddenButton="1"/>
    <filterColumn colId="2" hiddenButton="1"/>
    <filterColumn colId="3" hiddenButton="1"/>
    <filterColumn colId="4" hiddenButton="1"/>
    <filterColumn colId="5" hiddenButton="1"/>
  </autoFilter>
  <tableColumns count="6">
    <tableColumn id="1" xr3:uid="{619BF8F6-D0F1-41AD-871D-FE0240C45A93}" name="Descrição da Etapa" dataDxfId="54"/>
    <tableColumn id="2" xr3:uid="{39BD914E-FB02-4352-846C-6D59624DC0B0}" name="Category" dataDxfId="53"/>
    <tableColumn id="3" xr3:uid="{D274194F-BCA0-44F3-84B2-217254EE241C}" name="Assigned to" dataDxfId="52"/>
    <tableColumn id="4" xr3:uid="{8385BC6F-56EE-4363-A106-8DB0A1E4EF5A}" name="Progress" dataDxfId="51"/>
    <tableColumn id="5" xr3:uid="{02926609-7B93-4B6F-BE96-92EC7A949E4B}" name="Start" dataDxfId="50" dataCellStyle="Date"/>
    <tableColumn id="6" xr3:uid="{8FF9BE8E-04B7-4B39-AC27-D2E534204BC3}" name="Days" dataDxfId="49" dataCellStyle="Comma [0]"/>
  </tableColumns>
  <tableStyleInfo name="ToDoList" showFirstColumn="1" showLastColumn="0" showRowStripes="1" showColumnStripes="0"/>
  <extLst>
    <ext xmlns:x14="http://schemas.microsoft.com/office/spreadsheetml/2009/9/main" uri="{504A1905-F514-4f6f-8877-14C23A59335A}">
      <x14:table altTextSummary="Enter Project information in this table. Enter a milestone description for a phase, task, activity, etc. in column beneath Description. Select a category in the Category column. Assign the item to someone in the Assigned To column. Update progress and watch the data bars auto update in the Progress column. Enter the start date in the Start column and number of days in the number of days column. The Ghantt data in cells J9 through BM 34 will auto update. Add new rows to the table to add more tasks."/>
    </ext>
  </extLst>
</table>
</file>

<file path=xl/theme/theme1.xml><?xml version="1.0" encoding="utf-8"?>
<a:theme xmlns:a="http://schemas.openxmlformats.org/drawingml/2006/main" name="Attitude">
  <a:themeElements>
    <a:clrScheme name="Custom 60">
      <a:dk1>
        <a:srgbClr val="000000"/>
      </a:dk1>
      <a:lt1>
        <a:sysClr val="window" lastClr="FFFFFF"/>
      </a:lt1>
      <a:dk2>
        <a:srgbClr val="8439BD"/>
      </a:dk2>
      <a:lt2>
        <a:srgbClr val="FFFFFF"/>
      </a:lt2>
      <a:accent1>
        <a:srgbClr val="0EABB7"/>
      </a:accent1>
      <a:accent2>
        <a:srgbClr val="4868E5"/>
      </a:accent2>
      <a:accent3>
        <a:srgbClr val="20A472"/>
      </a:accent3>
      <a:accent4>
        <a:srgbClr val="B13DC8"/>
      </a:accent4>
      <a:accent5>
        <a:srgbClr val="172DA6"/>
      </a:accent5>
      <a:accent6>
        <a:srgbClr val="00B0F0"/>
      </a:accent6>
      <a:hlink>
        <a:srgbClr val="00B0F0"/>
      </a:hlink>
      <a:folHlink>
        <a:srgbClr val="B036B3"/>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table" Target="../tables/table1.xml"/><Relationship Id="rId4" Type="http://schemas.openxmlformats.org/officeDocument/2006/relationships/ctrlProp" Target="../ctrlProps/ctrlProp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9BEAD0-786A-4F3A-BCD3-DA7444CB9941}">
  <sheetPr>
    <pageSetUpPr fitToPage="1"/>
  </sheetPr>
  <dimension ref="A1:BP49"/>
  <sheetViews>
    <sheetView showGridLines="0" tabSelected="1" showRuler="0" topLeftCell="A5" zoomScale="121" zoomScaleNormal="121" zoomScalePageLayoutView="70" workbookViewId="0">
      <selection activeCell="AR18" sqref="AR18"/>
    </sheetView>
  </sheetViews>
  <sheetFormatPr baseColWidth="10" defaultColWidth="8.83203125" defaultRowHeight="30" customHeight="1" x14ac:dyDescent="0.2"/>
  <cols>
    <col min="1" max="1" width="4.83203125" style="6" customWidth="1"/>
    <col min="2" max="2" width="30.83203125" customWidth="1"/>
    <col min="3" max="3" width="13.33203125" bestFit="1" customWidth="1"/>
    <col min="4" max="4" width="20.5" customWidth="1"/>
    <col min="5" max="5" width="15.83203125" customWidth="1"/>
    <col min="6" max="6" width="10.5" style="2" customWidth="1"/>
    <col min="7" max="7" width="10.5" customWidth="1"/>
    <col min="8" max="8" width="2.6640625" customWidth="1"/>
    <col min="9" max="64" width="3.5" customWidth="1"/>
    <col min="65" max="65" width="2.6640625" customWidth="1"/>
  </cols>
  <sheetData>
    <row r="1" spans="1:68" ht="25" customHeight="1" x14ac:dyDescent="0.2"/>
    <row r="2" spans="1:68" ht="50" customHeight="1" x14ac:dyDescent="0.2">
      <c r="A2" s="7"/>
      <c r="B2" s="66" t="s">
        <v>32</v>
      </c>
      <c r="C2" s="66"/>
      <c r="D2" s="66"/>
      <c r="E2" s="66"/>
      <c r="F2" s="66"/>
      <c r="G2" s="66"/>
      <c r="H2" s="66"/>
      <c r="I2" s="67"/>
      <c r="J2" s="67"/>
      <c r="K2" s="67"/>
      <c r="L2" s="67"/>
      <c r="M2" s="67"/>
      <c r="N2" s="67"/>
      <c r="O2" s="68"/>
      <c r="P2" s="68"/>
      <c r="Q2" s="68"/>
      <c r="R2" s="68"/>
      <c r="S2" s="68"/>
      <c r="T2" s="68"/>
      <c r="U2" s="22"/>
      <c r="V2" s="22"/>
      <c r="W2" s="22"/>
      <c r="X2" s="22"/>
      <c r="Y2" s="22"/>
      <c r="Z2" s="22"/>
      <c r="AA2" s="22"/>
      <c r="AB2" s="22"/>
      <c r="AC2" s="22"/>
      <c r="AD2" s="22"/>
      <c r="AE2" s="22"/>
      <c r="AF2" s="22"/>
      <c r="AG2" s="22"/>
      <c r="AH2" s="22"/>
      <c r="AI2" s="22"/>
      <c r="AJ2" s="22"/>
      <c r="AK2" s="22"/>
      <c r="AL2" s="22"/>
      <c r="AM2" s="22"/>
      <c r="AN2" s="22"/>
      <c r="AO2" s="22"/>
      <c r="AP2" s="22"/>
      <c r="AQ2" s="22"/>
      <c r="AR2" s="22"/>
      <c r="AS2" s="22"/>
      <c r="AT2" s="22"/>
      <c r="AU2" s="22"/>
      <c r="AV2" s="22"/>
      <c r="AW2" s="22"/>
      <c r="AX2" s="22"/>
      <c r="AY2" s="22"/>
      <c r="AZ2" s="22"/>
      <c r="BA2" s="22"/>
      <c r="BB2" s="22"/>
      <c r="BC2" s="22"/>
      <c r="BD2" s="22"/>
      <c r="BE2" s="22"/>
      <c r="BF2" s="22"/>
      <c r="BG2" s="22"/>
      <c r="BH2" s="22"/>
      <c r="BI2" s="22"/>
      <c r="BJ2" s="22"/>
      <c r="BK2" s="22"/>
      <c r="BL2" s="22"/>
      <c r="BM2" s="22"/>
    </row>
    <row r="3" spans="1:68" ht="20" customHeight="1" x14ac:dyDescent="0.2">
      <c r="A3" s="7"/>
      <c r="B3" s="23"/>
      <c r="C3" s="24"/>
      <c r="D3" s="25"/>
      <c r="E3" s="25"/>
      <c r="F3" s="26"/>
      <c r="G3" s="25"/>
      <c r="H3" s="25"/>
      <c r="I3" s="38"/>
      <c r="J3" s="1"/>
      <c r="K3" s="1"/>
      <c r="L3" s="1"/>
    </row>
    <row r="4" spans="1:68" ht="30" customHeight="1" x14ac:dyDescent="0.2">
      <c r="A4" s="7"/>
      <c r="B4" s="27"/>
      <c r="C4" s="28"/>
      <c r="D4" s="29"/>
      <c r="E4" s="30"/>
      <c r="F4" s="31"/>
      <c r="G4" s="32" t="s">
        <v>53</v>
      </c>
      <c r="H4" s="30"/>
      <c r="I4" s="69" t="s">
        <v>15</v>
      </c>
      <c r="J4" s="69"/>
      <c r="K4" s="69"/>
      <c r="L4" s="69"/>
      <c r="N4" s="70" t="s">
        <v>16</v>
      </c>
      <c r="O4" s="70"/>
      <c r="P4" s="70"/>
      <c r="Q4" s="70"/>
      <c r="S4" s="71" t="s">
        <v>17</v>
      </c>
      <c r="T4" s="71"/>
      <c r="U4" s="71"/>
      <c r="V4" s="71"/>
      <c r="X4" s="64" t="s">
        <v>18</v>
      </c>
      <c r="Y4" s="64"/>
      <c r="Z4" s="64"/>
      <c r="AA4" s="64"/>
      <c r="AC4" s="65" t="s">
        <v>11</v>
      </c>
      <c r="AD4" s="65"/>
      <c r="AE4" s="65"/>
      <c r="AF4" s="65"/>
    </row>
    <row r="5" spans="1:68" ht="30" customHeight="1" x14ac:dyDescent="0.2">
      <c r="A5" s="7"/>
      <c r="B5" s="61"/>
      <c r="C5" s="29"/>
      <c r="D5" s="29"/>
      <c r="E5" s="30"/>
      <c r="F5" s="31"/>
      <c r="G5" s="30"/>
      <c r="H5" s="30"/>
    </row>
    <row r="6" spans="1:68" ht="30" customHeight="1" x14ac:dyDescent="0.25">
      <c r="A6" s="7"/>
      <c r="B6" s="33" t="s">
        <v>52</v>
      </c>
      <c r="C6" s="34" cm="1">
        <f t="array" aca="1" ref="C6" ca="1">IFERROR(IF(MIN(Milestones4352[Start])=0,TODAY(),B11(Milestones4352[Start])),TODAY())</f>
        <v>46064</v>
      </c>
      <c r="D6" s="35"/>
      <c r="E6" s="30"/>
      <c r="F6" s="31"/>
      <c r="G6" s="30"/>
      <c r="H6" s="30"/>
      <c r="I6" s="45" t="str">
        <f ca="1">TEXT(I7,"mmmm")</f>
        <v>February</v>
      </c>
      <c r="J6" s="45"/>
      <c r="K6" s="45"/>
      <c r="L6" s="45"/>
      <c r="M6" s="45"/>
      <c r="N6" s="45"/>
      <c r="O6" s="45"/>
      <c r="P6" s="45" t="str">
        <f ca="1">IF(TEXT(P7,"mmmm")=I6,"",TEXT(P7,"mmmm"))</f>
        <v/>
      </c>
      <c r="Q6" s="45"/>
      <c r="R6" s="45"/>
      <c r="S6" s="45"/>
      <c r="T6" s="45"/>
      <c r="U6" s="45"/>
      <c r="V6" s="45"/>
      <c r="W6" s="45" t="str">
        <f ca="1">IF(OR(TEXT(W7,"mmmm")=P6,TEXT(W7,"mmmm")=I6),"",TEXT(W7,"mmmm"))</f>
        <v/>
      </c>
      <c r="X6" s="45"/>
      <c r="Y6" s="45"/>
      <c r="Z6" s="45"/>
      <c r="AA6" s="45"/>
      <c r="AB6" s="45"/>
      <c r="AC6" s="45"/>
      <c r="AD6" s="45" t="str">
        <f ca="1">IF(OR(TEXT(AD7,"mmmm")=W6,TEXT(AD7,"mmmm")=P6,TEXT(AD7,"mmmm")=I6),"",TEXT(AD7,"mmmm"))</f>
        <v>March</v>
      </c>
      <c r="AE6" s="45"/>
      <c r="AF6" s="45"/>
      <c r="AG6" s="45"/>
      <c r="AH6" s="45"/>
      <c r="AI6" s="45"/>
      <c r="AJ6" s="45"/>
      <c r="AK6" s="45" t="str">
        <f ca="1">IF(OR(TEXT(AK7,"mmmm")=AD6,TEXT(AK7,"mmmm")=W6,TEXT(AK7,"mmmm")=P6,TEXT(AK7,"mmmm")=I6),"",TEXT(AK7,"mmmm"))</f>
        <v/>
      </c>
      <c r="AL6" s="45"/>
      <c r="AM6" s="45"/>
      <c r="AN6" s="45"/>
      <c r="AO6" s="45"/>
      <c r="AP6" s="45"/>
      <c r="AQ6" s="45"/>
      <c r="AR6" s="45" t="str">
        <f ca="1">IF(OR(TEXT(AR7,"mmmm")=AK6,TEXT(AR7,"mmmm")=AD6,TEXT(AR7,"mmmm")=W6,TEXT(AR7,"mmmm")=P6),"",TEXT(AR7,"mmmm"))</f>
        <v/>
      </c>
      <c r="AS6" s="45"/>
      <c r="AT6" s="45"/>
      <c r="AU6" s="45"/>
      <c r="AV6" s="45"/>
      <c r="AW6" s="45"/>
      <c r="AX6" s="46"/>
      <c r="AY6" s="46" t="str">
        <f ca="1">IF(OR(TEXT(AY7,"mmmm")=AR6,TEXT(AY7,"mmmm")=AK6,TEXT(AY7,"mmmm")=AD6,TEXT(AY7,"mmmm")=W6),"",TEXT(AY7,"mmmm"))</f>
        <v/>
      </c>
      <c r="AZ6" s="46"/>
      <c r="BA6" s="46"/>
      <c r="BB6" s="47"/>
      <c r="BC6" s="44"/>
      <c r="BD6" s="44"/>
      <c r="BE6" s="44"/>
      <c r="BF6" s="44" t="str">
        <f ca="1">IF(OR(TEXT(BF7,"mmmm")=AY6,TEXT(BF7,"mmmm")=AR6,TEXT(BF7,"mmmm")=AK6,TEXT(BF7,"mmmm")=AD6),"",TEXT(BF7,"mmmm"))</f>
        <v>April</v>
      </c>
      <c r="BG6" s="44"/>
      <c r="BH6" s="44"/>
      <c r="BI6" s="44"/>
      <c r="BJ6" s="44"/>
      <c r="BK6" s="44"/>
      <c r="BL6" s="44"/>
    </row>
    <row r="7" spans="1:68" ht="30" customHeight="1" x14ac:dyDescent="0.2">
      <c r="A7" s="7"/>
      <c r="B7" s="33"/>
      <c r="C7" s="36">
        <v>0</v>
      </c>
      <c r="D7" s="29"/>
      <c r="E7" s="30"/>
      <c r="F7" s="30"/>
      <c r="G7" s="30"/>
      <c r="H7" s="37"/>
      <c r="I7" s="48">
        <f ca="1">IFERROR(Project_Start+Scrolling_Increment,TODAY())</f>
        <v>46064</v>
      </c>
      <c r="J7" s="49">
        <f ca="1">I7+1</f>
        <v>46065</v>
      </c>
      <c r="K7" s="49">
        <f t="shared" ref="K7:AX7" ca="1" si="0">J7+1</f>
        <v>46066</v>
      </c>
      <c r="L7" s="49">
        <f t="shared" ca="1" si="0"/>
        <v>46067</v>
      </c>
      <c r="M7" s="49">
        <f t="shared" ca="1" si="0"/>
        <v>46068</v>
      </c>
      <c r="N7" s="49">
        <f t="shared" ca="1" si="0"/>
        <v>46069</v>
      </c>
      <c r="O7" s="50">
        <f t="shared" ca="1" si="0"/>
        <v>46070</v>
      </c>
      <c r="P7" s="49">
        <f ca="1">O7+1</f>
        <v>46071</v>
      </c>
      <c r="Q7" s="49">
        <f ca="1">P7+1</f>
        <v>46072</v>
      </c>
      <c r="R7" s="49">
        <f t="shared" ca="1" si="0"/>
        <v>46073</v>
      </c>
      <c r="S7" s="49">
        <f t="shared" ca="1" si="0"/>
        <v>46074</v>
      </c>
      <c r="T7" s="49">
        <f t="shared" ca="1" si="0"/>
        <v>46075</v>
      </c>
      <c r="U7" s="49">
        <f t="shared" ca="1" si="0"/>
        <v>46076</v>
      </c>
      <c r="V7" s="50">
        <f t="shared" ca="1" si="0"/>
        <v>46077</v>
      </c>
      <c r="W7" s="49">
        <f ca="1">V7+1</f>
        <v>46078</v>
      </c>
      <c r="X7" s="49">
        <f ca="1">W7+1</f>
        <v>46079</v>
      </c>
      <c r="Y7" s="49">
        <f t="shared" ca="1" si="0"/>
        <v>46080</v>
      </c>
      <c r="Z7" s="49">
        <f t="shared" ca="1" si="0"/>
        <v>46081</v>
      </c>
      <c r="AA7" s="49">
        <f t="shared" ca="1" si="0"/>
        <v>46082</v>
      </c>
      <c r="AB7" s="49">
        <f t="shared" ca="1" si="0"/>
        <v>46083</v>
      </c>
      <c r="AC7" s="50">
        <f t="shared" ca="1" si="0"/>
        <v>46084</v>
      </c>
      <c r="AD7" s="49">
        <f ca="1">AC7+1</f>
        <v>46085</v>
      </c>
      <c r="AE7" s="49">
        <f ca="1">AD7+1</f>
        <v>46086</v>
      </c>
      <c r="AF7" s="49">
        <f t="shared" ca="1" si="0"/>
        <v>46087</v>
      </c>
      <c r="AG7" s="49">
        <f t="shared" ca="1" si="0"/>
        <v>46088</v>
      </c>
      <c r="AH7" s="49">
        <f t="shared" ca="1" si="0"/>
        <v>46089</v>
      </c>
      <c r="AI7" s="49">
        <f t="shared" ca="1" si="0"/>
        <v>46090</v>
      </c>
      <c r="AJ7" s="50">
        <f t="shared" ca="1" si="0"/>
        <v>46091</v>
      </c>
      <c r="AK7" s="49">
        <f ca="1">AJ7+1</f>
        <v>46092</v>
      </c>
      <c r="AL7" s="49">
        <f ca="1">AK7+1</f>
        <v>46093</v>
      </c>
      <c r="AM7" s="49">
        <f t="shared" ca="1" si="0"/>
        <v>46094</v>
      </c>
      <c r="AN7" s="49">
        <f t="shared" ca="1" si="0"/>
        <v>46095</v>
      </c>
      <c r="AO7" s="49">
        <f t="shared" ca="1" si="0"/>
        <v>46096</v>
      </c>
      <c r="AP7" s="49">
        <f t="shared" ca="1" si="0"/>
        <v>46097</v>
      </c>
      <c r="AQ7" s="50">
        <f t="shared" ca="1" si="0"/>
        <v>46098</v>
      </c>
      <c r="AR7" s="49">
        <f ca="1">AQ7+1</f>
        <v>46099</v>
      </c>
      <c r="AS7" s="49">
        <f ca="1">AR7+1</f>
        <v>46100</v>
      </c>
      <c r="AT7" s="49">
        <f t="shared" ca="1" si="0"/>
        <v>46101</v>
      </c>
      <c r="AU7" s="49">
        <f t="shared" ca="1" si="0"/>
        <v>46102</v>
      </c>
      <c r="AV7" s="49">
        <f t="shared" ca="1" si="0"/>
        <v>46103</v>
      </c>
      <c r="AW7" s="49">
        <f t="shared" ca="1" si="0"/>
        <v>46104</v>
      </c>
      <c r="AX7" s="50">
        <f t="shared" ca="1" si="0"/>
        <v>46105</v>
      </c>
      <c r="AY7" s="49">
        <f ca="1">AX7+1</f>
        <v>46106</v>
      </c>
      <c r="AZ7" s="49">
        <f ca="1">AY7+1</f>
        <v>46107</v>
      </c>
      <c r="BA7" s="49">
        <f t="shared" ref="BA7:BE7" ca="1" si="1">AZ7+1</f>
        <v>46108</v>
      </c>
      <c r="BB7" s="49">
        <f t="shared" ca="1" si="1"/>
        <v>46109</v>
      </c>
      <c r="BC7" s="49">
        <f t="shared" ca="1" si="1"/>
        <v>46110</v>
      </c>
      <c r="BD7" s="49">
        <f t="shared" ca="1" si="1"/>
        <v>46111</v>
      </c>
      <c r="BE7" s="50">
        <f t="shared" ca="1" si="1"/>
        <v>46112</v>
      </c>
      <c r="BF7" s="49">
        <f ca="1">BE7+1</f>
        <v>46113</v>
      </c>
      <c r="BG7" s="49">
        <f ca="1">BF7+1</f>
        <v>46114</v>
      </c>
      <c r="BH7" s="49">
        <f t="shared" ref="BH7:BL7" ca="1" si="2">BG7+1</f>
        <v>46115</v>
      </c>
      <c r="BI7" s="49">
        <f t="shared" ca="1" si="2"/>
        <v>46116</v>
      </c>
      <c r="BJ7" s="49">
        <f t="shared" ca="1" si="2"/>
        <v>46117</v>
      </c>
      <c r="BK7" s="49">
        <f t="shared" ca="1" si="2"/>
        <v>46118</v>
      </c>
      <c r="BL7" s="50">
        <f t="shared" ca="1" si="2"/>
        <v>46119</v>
      </c>
    </row>
    <row r="8" spans="1:68" ht="20" customHeight="1" x14ac:dyDescent="0.2">
      <c r="A8" s="7"/>
      <c r="B8" s="29"/>
      <c r="C8" s="29"/>
      <c r="D8" s="29"/>
      <c r="E8" s="30"/>
      <c r="F8" s="30"/>
      <c r="G8" s="30"/>
      <c r="H8" s="37"/>
      <c r="I8" s="51"/>
      <c r="J8" s="52"/>
      <c r="K8" s="52"/>
      <c r="L8" s="52"/>
      <c r="M8" s="52"/>
      <c r="N8" s="52"/>
      <c r="O8" s="52"/>
      <c r="P8" s="53"/>
      <c r="Q8" s="52"/>
      <c r="R8" s="52"/>
      <c r="S8" s="52"/>
      <c r="T8" s="52"/>
      <c r="U8" s="52"/>
      <c r="V8" s="54"/>
      <c r="W8" s="52"/>
      <c r="X8" s="52"/>
      <c r="Y8" s="52"/>
      <c r="Z8" s="52"/>
      <c r="AA8" s="52"/>
      <c r="AB8" s="52"/>
      <c r="AC8" s="54"/>
      <c r="AD8" s="52"/>
      <c r="AE8" s="52"/>
      <c r="AF8" s="52"/>
      <c r="AG8" s="52"/>
      <c r="AH8" s="52"/>
      <c r="AI8" s="52"/>
      <c r="AJ8" s="54"/>
      <c r="AK8" s="52"/>
      <c r="AL8" s="52"/>
      <c r="AM8" s="52"/>
      <c r="AN8" s="52"/>
      <c r="AO8" s="52"/>
      <c r="AP8" s="52"/>
      <c r="AQ8" s="54"/>
      <c r="AR8" s="52"/>
      <c r="AS8" s="52"/>
      <c r="AT8" s="52"/>
      <c r="AU8" s="52"/>
      <c r="AV8" s="52"/>
      <c r="AW8" s="52"/>
      <c r="AX8" s="54"/>
      <c r="AY8" s="52"/>
      <c r="AZ8" s="52"/>
      <c r="BA8" s="52"/>
      <c r="BB8" s="52"/>
      <c r="BC8" s="52"/>
      <c r="BD8" s="52"/>
      <c r="BE8" s="54"/>
      <c r="BF8" s="52"/>
      <c r="BG8" s="52"/>
      <c r="BH8" s="52"/>
      <c r="BI8" s="52"/>
      <c r="BJ8" s="52"/>
      <c r="BK8" s="52"/>
      <c r="BL8" s="55"/>
    </row>
    <row r="9" spans="1:68" ht="40" customHeight="1" x14ac:dyDescent="0.2">
      <c r="A9" s="7"/>
      <c r="B9" s="57" t="s">
        <v>51</v>
      </c>
      <c r="C9" s="58" t="s">
        <v>2</v>
      </c>
      <c r="D9" s="58" t="s">
        <v>13</v>
      </c>
      <c r="E9" s="58" t="s">
        <v>5</v>
      </c>
      <c r="F9" s="58" t="s">
        <v>6</v>
      </c>
      <c r="G9" s="58" t="s">
        <v>14</v>
      </c>
      <c r="H9" s="42"/>
      <c r="I9" s="56" t="str">
        <f t="shared" ref="I9:BL9" ca="1" si="3">LEFT(TEXT(I7,"ddd"),1)</f>
        <v>W</v>
      </c>
      <c r="J9" s="56" t="str">
        <f t="shared" ca="1" si="3"/>
        <v>T</v>
      </c>
      <c r="K9" s="56" t="str">
        <f t="shared" ca="1" si="3"/>
        <v>F</v>
      </c>
      <c r="L9" s="56" t="str">
        <f t="shared" ca="1" si="3"/>
        <v>S</v>
      </c>
      <c r="M9" s="56" t="str">
        <f t="shared" ca="1" si="3"/>
        <v>S</v>
      </c>
      <c r="N9" s="56" t="str">
        <f t="shared" ca="1" si="3"/>
        <v>M</v>
      </c>
      <c r="O9" s="56" t="str">
        <f t="shared" ca="1" si="3"/>
        <v>T</v>
      </c>
      <c r="P9" s="56" t="str">
        <f t="shared" ca="1" si="3"/>
        <v>W</v>
      </c>
      <c r="Q9" s="56" t="str">
        <f t="shared" ca="1" si="3"/>
        <v>T</v>
      </c>
      <c r="R9" s="56" t="str">
        <f t="shared" ca="1" si="3"/>
        <v>F</v>
      </c>
      <c r="S9" s="56" t="str">
        <f t="shared" ca="1" si="3"/>
        <v>S</v>
      </c>
      <c r="T9" s="56" t="str">
        <f t="shared" ca="1" si="3"/>
        <v>S</v>
      </c>
      <c r="U9" s="56" t="str">
        <f t="shared" ca="1" si="3"/>
        <v>M</v>
      </c>
      <c r="V9" s="56" t="str">
        <f t="shared" ca="1" si="3"/>
        <v>T</v>
      </c>
      <c r="W9" s="56" t="str">
        <f t="shared" ca="1" si="3"/>
        <v>W</v>
      </c>
      <c r="X9" s="56" t="str">
        <f t="shared" ca="1" si="3"/>
        <v>T</v>
      </c>
      <c r="Y9" s="56" t="str">
        <f t="shared" ca="1" si="3"/>
        <v>F</v>
      </c>
      <c r="Z9" s="56" t="str">
        <f t="shared" ca="1" si="3"/>
        <v>S</v>
      </c>
      <c r="AA9" s="56" t="str">
        <f t="shared" ca="1" si="3"/>
        <v>S</v>
      </c>
      <c r="AB9" s="56" t="str">
        <f t="shared" ca="1" si="3"/>
        <v>M</v>
      </c>
      <c r="AC9" s="56" t="str">
        <f t="shared" ca="1" si="3"/>
        <v>T</v>
      </c>
      <c r="AD9" s="56" t="str">
        <f t="shared" ca="1" si="3"/>
        <v>W</v>
      </c>
      <c r="AE9" s="56" t="str">
        <f t="shared" ca="1" si="3"/>
        <v>T</v>
      </c>
      <c r="AF9" s="56" t="str">
        <f t="shared" ca="1" si="3"/>
        <v>F</v>
      </c>
      <c r="AG9" s="56" t="str">
        <f t="shared" ca="1" si="3"/>
        <v>S</v>
      </c>
      <c r="AH9" s="56" t="str">
        <f t="shared" ca="1" si="3"/>
        <v>S</v>
      </c>
      <c r="AI9" s="56" t="str">
        <f t="shared" ca="1" si="3"/>
        <v>M</v>
      </c>
      <c r="AJ9" s="56" t="str">
        <f t="shared" ca="1" si="3"/>
        <v>T</v>
      </c>
      <c r="AK9" s="56" t="str">
        <f t="shared" ca="1" si="3"/>
        <v>W</v>
      </c>
      <c r="AL9" s="56" t="str">
        <f t="shared" ca="1" si="3"/>
        <v>T</v>
      </c>
      <c r="AM9" s="56" t="str">
        <f t="shared" ca="1" si="3"/>
        <v>F</v>
      </c>
      <c r="AN9" s="56" t="str">
        <f t="shared" ca="1" si="3"/>
        <v>S</v>
      </c>
      <c r="AO9" s="56" t="str">
        <f t="shared" ca="1" si="3"/>
        <v>S</v>
      </c>
      <c r="AP9" s="56" t="str">
        <f t="shared" ca="1" si="3"/>
        <v>M</v>
      </c>
      <c r="AQ9" s="56" t="str">
        <f t="shared" ca="1" si="3"/>
        <v>T</v>
      </c>
      <c r="AR9" s="56" t="str">
        <f t="shared" ca="1" si="3"/>
        <v>W</v>
      </c>
      <c r="AS9" s="56" t="str">
        <f t="shared" ca="1" si="3"/>
        <v>T</v>
      </c>
      <c r="AT9" s="56" t="str">
        <f t="shared" ca="1" si="3"/>
        <v>F</v>
      </c>
      <c r="AU9" s="56" t="str">
        <f t="shared" ca="1" si="3"/>
        <v>S</v>
      </c>
      <c r="AV9" s="56" t="str">
        <f t="shared" ca="1" si="3"/>
        <v>S</v>
      </c>
      <c r="AW9" s="56" t="str">
        <f t="shared" ca="1" si="3"/>
        <v>M</v>
      </c>
      <c r="AX9" s="56" t="str">
        <f t="shared" ca="1" si="3"/>
        <v>T</v>
      </c>
      <c r="AY9" s="56" t="str">
        <f t="shared" ca="1" si="3"/>
        <v>W</v>
      </c>
      <c r="AZ9" s="56" t="str">
        <f t="shared" ca="1" si="3"/>
        <v>T</v>
      </c>
      <c r="BA9" s="56" t="str">
        <f t="shared" ca="1" si="3"/>
        <v>F</v>
      </c>
      <c r="BB9" s="56" t="str">
        <f t="shared" ca="1" si="3"/>
        <v>S</v>
      </c>
      <c r="BC9" s="56" t="str">
        <f t="shared" ca="1" si="3"/>
        <v>S</v>
      </c>
      <c r="BD9" s="56" t="str">
        <f t="shared" ca="1" si="3"/>
        <v>M</v>
      </c>
      <c r="BE9" s="56" t="str">
        <f t="shared" ca="1" si="3"/>
        <v>T</v>
      </c>
      <c r="BF9" s="56" t="str">
        <f t="shared" ca="1" si="3"/>
        <v>W</v>
      </c>
      <c r="BG9" s="56" t="str">
        <f t="shared" ca="1" si="3"/>
        <v>T</v>
      </c>
      <c r="BH9" s="56" t="str">
        <f t="shared" ca="1" si="3"/>
        <v>F</v>
      </c>
      <c r="BI9" s="56" t="str">
        <f t="shared" ca="1" si="3"/>
        <v>S</v>
      </c>
      <c r="BJ9" s="56" t="str">
        <f t="shared" ca="1" si="3"/>
        <v>S</v>
      </c>
      <c r="BK9" s="56" t="str">
        <f t="shared" ca="1" si="3"/>
        <v>M</v>
      </c>
      <c r="BL9" s="56" t="str">
        <f t="shared" ca="1" si="3"/>
        <v>T</v>
      </c>
    </row>
    <row r="10" spans="1:68" ht="30" hidden="1" customHeight="1" thickBot="1" x14ac:dyDescent="0.25">
      <c r="B10" s="13"/>
      <c r="C10" s="10"/>
      <c r="D10" s="9"/>
      <c r="E10" s="10"/>
      <c r="F10" s="11"/>
      <c r="G10" s="12"/>
      <c r="I10" s="15"/>
      <c r="J10" s="15"/>
      <c r="K10" s="15"/>
      <c r="L10" s="15"/>
      <c r="M10" s="15"/>
      <c r="N10" s="15"/>
      <c r="O10" s="15"/>
      <c r="P10" s="15"/>
      <c r="Q10" s="15"/>
      <c r="R10" s="15"/>
      <c r="S10" s="15"/>
      <c r="T10" s="15"/>
      <c r="U10" s="15"/>
      <c r="V10" s="15"/>
      <c r="W10" s="15"/>
      <c r="X10" s="15"/>
      <c r="Y10" s="15"/>
      <c r="Z10" s="15"/>
      <c r="AA10" s="15"/>
      <c r="AB10" s="15"/>
      <c r="AC10" s="15"/>
      <c r="AD10" s="15"/>
      <c r="AE10" s="15"/>
      <c r="AF10" s="15"/>
      <c r="AG10" s="15"/>
      <c r="AH10" s="15"/>
      <c r="AI10" s="15"/>
      <c r="AJ10" s="15"/>
      <c r="AK10" s="15"/>
      <c r="AL10" s="15"/>
      <c r="AM10" s="15"/>
      <c r="AN10" s="15"/>
      <c r="AO10" s="15"/>
      <c r="AP10" s="15"/>
      <c r="AQ10" s="15"/>
      <c r="AR10" s="15"/>
      <c r="AS10" s="15"/>
      <c r="AT10" s="15"/>
      <c r="AU10" s="15"/>
      <c r="AV10" s="15"/>
      <c r="AW10" s="15"/>
      <c r="AX10" s="15"/>
      <c r="AY10" s="15"/>
      <c r="AZ10" s="15"/>
      <c r="BA10" s="15"/>
      <c r="BB10" s="15"/>
      <c r="BC10" s="15"/>
      <c r="BD10" s="15"/>
      <c r="BE10" s="15"/>
      <c r="BF10" s="15"/>
      <c r="BG10" s="15"/>
      <c r="BH10" s="15"/>
      <c r="BI10" s="15"/>
      <c r="BJ10" s="15"/>
      <c r="BK10" s="15"/>
      <c r="BL10" s="15"/>
    </row>
    <row r="11" spans="1:68" s="1" customFormat="1" ht="40" customHeight="1" x14ac:dyDescent="0.2">
      <c r="A11" s="7"/>
      <c r="B11" s="62" t="s">
        <v>33</v>
      </c>
      <c r="C11" s="41"/>
      <c r="D11" s="17"/>
      <c r="E11" s="18"/>
      <c r="F11" s="19"/>
      <c r="G11" s="20"/>
      <c r="H11" s="17"/>
      <c r="I11" s="14" t="e">
        <f ca="1">IF(AND(#REF!="Goal",I$7&gt;=$F11,I$7&lt;=$F11+$G11-1),2,IF(AND(#REF!="Milestone",I$7&gt;=$F11,I$7&lt;=$F11+$G11-1),1,""))</f>
        <v>#REF!</v>
      </c>
      <c r="J11" s="14" t="e">
        <f ca="1">IF(AND(#REF!="Goal",J$7&gt;=$F11,J$7&lt;=$F11+$G11-1),2,IF(AND(#REF!="Milestone",J$7&gt;=$F11,J$7&lt;=$F11+$G11-1),1,""))</f>
        <v>#REF!</v>
      </c>
      <c r="K11" s="14" t="e">
        <f ca="1">IF(AND(#REF!="Goal",K$7&gt;=$F11,K$7&lt;=$F11+$G11-1),2,IF(AND(#REF!="Milestone",K$7&gt;=$F11,K$7&lt;=$F11+$G11-1),1,""))</f>
        <v>#REF!</v>
      </c>
      <c r="L11" s="14" t="e">
        <f ca="1">IF(AND(#REF!="Goal",L$7&gt;=$F11,L$7&lt;=$F11+$G11-1),2,IF(AND(#REF!="Milestone",L$7&gt;=$F11,L$7&lt;=$F11+$G11-1),1,""))</f>
        <v>#REF!</v>
      </c>
      <c r="M11" s="14" t="e">
        <f ca="1">IF(AND(#REF!="Goal",M$7&gt;=$F11,M$7&lt;=$F11+$G11-1),2,IF(AND(#REF!="Milestone",M$7&gt;=$F11,M$7&lt;=$F11+$G11-1),1,""))</f>
        <v>#REF!</v>
      </c>
      <c r="N11" s="14" t="e">
        <f ca="1">IF(AND(#REF!="Goal",N$7&gt;=$F11,N$7&lt;=$F11+$G11-1),2,IF(AND(#REF!="Milestone",N$7&gt;=$F11,N$7&lt;=$F11+$G11-1),1,""))</f>
        <v>#REF!</v>
      </c>
      <c r="O11" s="14" t="e">
        <f ca="1">IF(AND(#REF!="Goal",O$7&gt;=$F11,O$7&lt;=$F11+$G11-1),2,IF(AND(#REF!="Milestone",O$7&gt;=$F11,O$7&lt;=$F11+$G11-1),1,""))</f>
        <v>#REF!</v>
      </c>
      <c r="P11" s="14" t="e">
        <f ca="1">IF(AND(#REF!="Goal",P$7&gt;=$F11,P$7&lt;=$F11+$G11-1),2,IF(AND(#REF!="Milestone",P$7&gt;=$F11,P$7&lt;=$F11+$G11-1),1,""))</f>
        <v>#REF!</v>
      </c>
      <c r="Q11" s="14" t="e">
        <f ca="1">IF(AND(#REF!="Goal",Q$7&gt;=$F11,Q$7&lt;=$F11+$G11-1),2,IF(AND(#REF!="Milestone",Q$7&gt;=$F11,Q$7&lt;=$F11+$G11-1),1,""))</f>
        <v>#REF!</v>
      </c>
      <c r="R11" s="14" t="e">
        <f ca="1">IF(AND(#REF!="Goal",R$7&gt;=$F11,R$7&lt;=$F11+$G11-1),2,IF(AND(#REF!="Milestone",R$7&gt;=$F11,R$7&lt;=$F11+$G11-1),1,""))</f>
        <v>#REF!</v>
      </c>
      <c r="S11" s="14" t="e">
        <f ca="1">IF(AND(#REF!="Goal",S$7&gt;=$F11,S$7&lt;=$F11+$G11-1),2,IF(AND(#REF!="Milestone",S$7&gt;=$F11,S$7&lt;=$F11+$G11-1),1,""))</f>
        <v>#REF!</v>
      </c>
      <c r="T11" s="14" t="e">
        <f ca="1">IF(AND(#REF!="Goal",T$7&gt;=$F11,T$7&lt;=$F11+$G11-1),2,IF(AND(#REF!="Milestone",T$7&gt;=$F11,T$7&lt;=$F11+$G11-1),1,""))</f>
        <v>#REF!</v>
      </c>
      <c r="U11" s="14" t="e">
        <f ca="1">IF(AND(#REF!="Goal",U$7&gt;=$F11,U$7&lt;=$F11+$G11-1),2,IF(AND(#REF!="Milestone",U$7&gt;=$F11,U$7&lt;=$F11+$G11-1),1,""))</f>
        <v>#REF!</v>
      </c>
      <c r="V11" s="14" t="e">
        <f ca="1">IF(AND(#REF!="Goal",V$7&gt;=$F11,V$7&lt;=$F11+$G11-1),2,IF(AND(#REF!="Milestone",V$7&gt;=$F11,V$7&lt;=$F11+$G11-1),1,""))</f>
        <v>#REF!</v>
      </c>
      <c r="W11" s="14" t="e">
        <f ca="1">IF(AND(#REF!="Goal",W$7&gt;=$F11,W$7&lt;=$F11+$G11-1),2,IF(AND(#REF!="Milestone",W$7&gt;=$F11,W$7&lt;=$F11+$G11-1),1,""))</f>
        <v>#REF!</v>
      </c>
      <c r="X11" s="14" t="e">
        <f ca="1">IF(AND(#REF!="Goal",X$7&gt;=$F11,X$7&lt;=$F11+$G11-1),2,IF(AND(#REF!="Milestone",X$7&gt;=$F11,X$7&lt;=$F11+$G11-1),1,""))</f>
        <v>#REF!</v>
      </c>
      <c r="Y11" s="14" t="e">
        <f ca="1">IF(AND(#REF!="Goal",Y$7&gt;=$F11,Y$7&lt;=$F11+$G11-1),2,IF(AND(#REF!="Milestone",Y$7&gt;=$F11,Y$7&lt;=$F11+$G11-1),1,""))</f>
        <v>#REF!</v>
      </c>
      <c r="Z11" s="14" t="e">
        <f ca="1">IF(AND(#REF!="Goal",Z$7&gt;=$F11,Z$7&lt;=$F11+$G11-1),2,IF(AND(#REF!="Milestone",Z$7&gt;=$F11,Z$7&lt;=$F11+$G11-1),1,""))</f>
        <v>#REF!</v>
      </c>
      <c r="AA11" s="14" t="e">
        <f ca="1">IF(AND(#REF!="Goal",AA$7&gt;=$F11,AA$7&lt;=$F11+$G11-1),2,IF(AND(#REF!="Milestone",AA$7&gt;=$F11,AA$7&lt;=$F11+$G11-1),1,""))</f>
        <v>#REF!</v>
      </c>
      <c r="AB11" s="14" t="e">
        <f ca="1">IF(AND(#REF!="Goal",AB$7&gt;=$F11,AB$7&lt;=$F11+$G11-1),2,IF(AND(#REF!="Milestone",AB$7&gt;=$F11,AB$7&lt;=$F11+$G11-1),1,""))</f>
        <v>#REF!</v>
      </c>
      <c r="AC11" s="14" t="e">
        <f ca="1">IF(AND(#REF!="Goal",AC$7&gt;=$F11,AC$7&lt;=$F11+$G11-1),2,IF(AND(#REF!="Milestone",AC$7&gt;=$F11,AC$7&lt;=$F11+$G11-1),1,""))</f>
        <v>#REF!</v>
      </c>
      <c r="AD11" s="14" t="e">
        <f ca="1">IF(AND(#REF!="Goal",AD$7&gt;=$F11,AD$7&lt;=$F11+$G11-1),2,IF(AND(#REF!="Milestone",AD$7&gt;=$F11,AD$7&lt;=$F11+$G11-1),1,""))</f>
        <v>#REF!</v>
      </c>
      <c r="AE11" s="14" t="e">
        <f ca="1">IF(AND(#REF!="Goal",AE$7&gt;=$F11,AE$7&lt;=$F11+$G11-1),2,IF(AND(#REF!="Milestone",AE$7&gt;=$F11,AE$7&lt;=$F11+$G11-1),1,""))</f>
        <v>#REF!</v>
      </c>
      <c r="AF11" s="14" t="e">
        <f ca="1">IF(AND(#REF!="Goal",AF$7&gt;=$F11,AF$7&lt;=$F11+$G11-1),2,IF(AND(#REF!="Milestone",AF$7&gt;=$F11,AF$7&lt;=$F11+$G11-1),1,""))</f>
        <v>#REF!</v>
      </c>
      <c r="AG11" s="14" t="e">
        <f ca="1">IF(AND(#REF!="Goal",AG$7&gt;=$F11,AG$7&lt;=$F11+$G11-1),2,IF(AND(#REF!="Milestone",AG$7&gt;=$F11,AG$7&lt;=$F11+$G11-1),1,""))</f>
        <v>#REF!</v>
      </c>
      <c r="AH11" s="14" t="e">
        <f ca="1">IF(AND(#REF!="Goal",AH$7&gt;=$F11,AH$7&lt;=$F11+$G11-1),2,IF(AND(#REF!="Milestone",AH$7&gt;=$F11,AH$7&lt;=$F11+$G11-1),1,""))</f>
        <v>#REF!</v>
      </c>
      <c r="AI11" s="14" t="e">
        <f ca="1">IF(AND(#REF!="Goal",AI$7&gt;=$F11,AI$7&lt;=$F11+$G11-1),2,IF(AND(#REF!="Milestone",AI$7&gt;=$F11,AI$7&lt;=$F11+$G11-1),1,""))</f>
        <v>#REF!</v>
      </c>
      <c r="AJ11" s="14" t="e">
        <f ca="1">IF(AND(#REF!="Goal",AJ$7&gt;=$F11,AJ$7&lt;=$F11+$G11-1),2,IF(AND(#REF!="Milestone",AJ$7&gt;=$F11,AJ$7&lt;=$F11+$G11-1),1,""))</f>
        <v>#REF!</v>
      </c>
      <c r="AK11" s="14" t="e">
        <f ca="1">IF(AND(#REF!="Goal",AK$7&gt;=$F11,AK$7&lt;=$F11+$G11-1),2,IF(AND(#REF!="Milestone",AK$7&gt;=$F11,AK$7&lt;=$F11+$G11-1),1,""))</f>
        <v>#REF!</v>
      </c>
      <c r="AL11" s="14" t="e">
        <f ca="1">IF(AND(#REF!="Goal",AL$7&gt;=$F11,AL$7&lt;=$F11+$G11-1),2,IF(AND(#REF!="Milestone",AL$7&gt;=$F11,AL$7&lt;=$F11+$G11-1),1,""))</f>
        <v>#REF!</v>
      </c>
      <c r="AM11" s="14" t="e">
        <f ca="1">IF(AND(#REF!="Goal",AM$7&gt;=$F11,AM$7&lt;=$F11+$G11-1),2,IF(AND(#REF!="Milestone",AM$7&gt;=$F11,AM$7&lt;=$F11+$G11-1),1,""))</f>
        <v>#REF!</v>
      </c>
      <c r="AN11" s="14" t="e">
        <f ca="1">IF(AND(#REF!="Goal",AN$7&gt;=$F11,AN$7&lt;=$F11+$G11-1),2,IF(AND(#REF!="Milestone",AN$7&gt;=$F11,AN$7&lt;=$F11+$G11-1),1,""))</f>
        <v>#REF!</v>
      </c>
      <c r="AO11" s="14" t="e">
        <f ca="1">IF(AND(#REF!="Goal",AO$7&gt;=$F11,AO$7&lt;=$F11+$G11-1),2,IF(AND(#REF!="Milestone",AO$7&gt;=$F11,AO$7&lt;=$F11+$G11-1),1,""))</f>
        <v>#REF!</v>
      </c>
      <c r="AP11" s="14" t="e">
        <f ca="1">IF(AND(#REF!="Goal",AP$7&gt;=$F11,AP$7&lt;=$F11+$G11-1),2,IF(AND(#REF!="Milestone",AP$7&gt;=$F11,AP$7&lt;=$F11+$G11-1),1,""))</f>
        <v>#REF!</v>
      </c>
      <c r="AQ11" s="14" t="e">
        <f ca="1">IF(AND(#REF!="Goal",AQ$7&gt;=$F11,AQ$7&lt;=$F11+$G11-1),2,IF(AND(#REF!="Milestone",AQ$7&gt;=$F11,AQ$7&lt;=$F11+$G11-1),1,""))</f>
        <v>#REF!</v>
      </c>
      <c r="AR11" s="14" t="e">
        <f ca="1">IF(AND(#REF!="Goal",AR$7&gt;=$F11,AR$7&lt;=$F11+$G11-1),2,IF(AND(#REF!="Milestone",AR$7&gt;=$F11,AR$7&lt;=$F11+$G11-1),1,""))</f>
        <v>#REF!</v>
      </c>
      <c r="AS11" s="14" t="e">
        <f ca="1">IF(AND(#REF!="Goal",AS$7&gt;=$F11,AS$7&lt;=$F11+$G11-1),2,IF(AND(#REF!="Milestone",AS$7&gt;=$F11,AS$7&lt;=$F11+$G11-1),1,""))</f>
        <v>#REF!</v>
      </c>
      <c r="AT11" s="14" t="e">
        <f ca="1">IF(AND(#REF!="Goal",AT$7&gt;=$F11,AT$7&lt;=$F11+$G11-1),2,IF(AND(#REF!="Milestone",AT$7&gt;=$F11,AT$7&lt;=$F11+$G11-1),1,""))</f>
        <v>#REF!</v>
      </c>
      <c r="AU11" s="14" t="e">
        <f ca="1">IF(AND(#REF!="Goal",AU$7&gt;=$F11,AU$7&lt;=$F11+$G11-1),2,IF(AND(#REF!="Milestone",AU$7&gt;=$F11,AU$7&lt;=$F11+$G11-1),1,""))</f>
        <v>#REF!</v>
      </c>
      <c r="AV11" s="14" t="e">
        <f ca="1">IF(AND(#REF!="Goal",AV$7&gt;=$F11,AV$7&lt;=$F11+$G11-1),2,IF(AND(#REF!="Milestone",AV$7&gt;=$F11,AV$7&lt;=$F11+$G11-1),1,""))</f>
        <v>#REF!</v>
      </c>
      <c r="AW11" s="14" t="e">
        <f ca="1">IF(AND(#REF!="Goal",AW$7&gt;=$F11,AW$7&lt;=$F11+$G11-1),2,IF(AND(#REF!="Milestone",AW$7&gt;=$F11,AW$7&lt;=$F11+$G11-1),1,""))</f>
        <v>#REF!</v>
      </c>
      <c r="AX11" s="14" t="e">
        <f ca="1">IF(AND(#REF!="Goal",AX$7&gt;=$F11,AX$7&lt;=$F11+$G11-1),2,IF(AND(#REF!="Milestone",AX$7&gt;=$F11,AX$7&lt;=$F11+$G11-1),1,""))</f>
        <v>#REF!</v>
      </c>
      <c r="AY11" s="14" t="e">
        <f ca="1">IF(AND(#REF!="Goal",AY$7&gt;=$F11,AY$7&lt;=$F11+$G11-1),2,IF(AND(#REF!="Milestone",AY$7&gt;=$F11,AY$7&lt;=$F11+$G11-1),1,""))</f>
        <v>#REF!</v>
      </c>
      <c r="AZ11" s="14" t="e">
        <f ca="1">IF(AND(#REF!="Goal",AZ$7&gt;=$F11,AZ$7&lt;=$F11+$G11-1),2,IF(AND(#REF!="Milestone",AZ$7&gt;=$F11,AZ$7&lt;=$F11+$G11-1),1,""))</f>
        <v>#REF!</v>
      </c>
      <c r="BA11" s="14" t="e">
        <f ca="1">IF(AND(#REF!="Goal",BA$7&gt;=$F11,BA$7&lt;=$F11+$G11-1),2,IF(AND(#REF!="Milestone",BA$7&gt;=$F11,BA$7&lt;=$F11+$G11-1),1,""))</f>
        <v>#REF!</v>
      </c>
      <c r="BB11" s="14" t="e">
        <f ca="1">IF(AND(#REF!="Goal",BB$7&gt;=$F11,BB$7&lt;=$F11+$G11-1),2,IF(AND(#REF!="Milestone",BB$7&gt;=$F11,BB$7&lt;=$F11+$G11-1),1,""))</f>
        <v>#REF!</v>
      </c>
      <c r="BC11" s="14" t="e">
        <f ca="1">IF(AND(#REF!="Goal",BC$7&gt;=$F11,BC$7&lt;=$F11+$G11-1),2,IF(AND(#REF!="Milestone",BC$7&gt;=$F11,BC$7&lt;=$F11+$G11-1),1,""))</f>
        <v>#REF!</v>
      </c>
      <c r="BD11" s="14" t="e">
        <f ca="1">IF(AND(#REF!="Goal",BD$7&gt;=$F11,BD$7&lt;=$F11+$G11-1),2,IF(AND(#REF!="Milestone",BD$7&gt;=$F11,BD$7&lt;=$F11+$G11-1),1,""))</f>
        <v>#REF!</v>
      </c>
      <c r="BE11" s="14" t="e">
        <f ca="1">IF(AND(#REF!="Goal",BE$7&gt;=$F11,BE$7&lt;=$F11+$G11-1),2,IF(AND(#REF!="Milestone",BE$7&gt;=$F11,BE$7&lt;=$F11+$G11-1),1,""))</f>
        <v>#REF!</v>
      </c>
      <c r="BF11" s="14" t="e">
        <f ca="1">IF(AND(#REF!="Goal",BF$7&gt;=$F11,BF$7&lt;=$F11+$G11-1),2,IF(AND(#REF!="Milestone",BF$7&gt;=$F11,BF$7&lt;=$F11+$G11-1),1,""))</f>
        <v>#REF!</v>
      </c>
      <c r="BG11" s="14" t="e">
        <f ca="1">IF(AND(#REF!="Goal",BG$7&gt;=$F11,BG$7&lt;=$F11+$G11-1),2,IF(AND(#REF!="Milestone",BG$7&gt;=$F11,BG$7&lt;=$F11+$G11-1),1,""))</f>
        <v>#REF!</v>
      </c>
      <c r="BH11" s="14" t="e">
        <f ca="1">IF(AND(#REF!="Goal",BH$7&gt;=$F11,BH$7&lt;=$F11+$G11-1),2,IF(AND(#REF!="Milestone",BH$7&gt;=$F11,BH$7&lt;=$F11+$G11-1),1,""))</f>
        <v>#REF!</v>
      </c>
      <c r="BI11" s="14" t="e">
        <f ca="1">IF(AND(#REF!="Goal",BI$7&gt;=$F11,BI$7&lt;=$F11+$G11-1),2,IF(AND(#REF!="Milestone",BI$7&gt;=$F11,BI$7&lt;=$F11+$G11-1),1,""))</f>
        <v>#REF!</v>
      </c>
      <c r="BJ11" s="14" t="e">
        <f ca="1">IF(AND(#REF!="Goal",BJ$7&gt;=$F11,BJ$7&lt;=$F11+$G11-1),2,IF(AND(#REF!="Milestone",BJ$7&gt;=$F11,BJ$7&lt;=$F11+$G11-1),1,""))</f>
        <v>#REF!</v>
      </c>
      <c r="BK11" s="14" t="e">
        <f ca="1">IF(AND(#REF!="Goal",BK$7&gt;=$F11,BK$7&lt;=$F11+$G11-1),2,IF(AND(#REF!="Milestone",BK$7&gt;=$F11,BK$7&lt;=$F11+$G11-1),1,""))</f>
        <v>#REF!</v>
      </c>
      <c r="BL11" s="14" t="e">
        <f ca="1">IF(AND(#REF!="Goal",BL$7&gt;=$F11,BL$7&lt;=$F11+$G11-1),2,IF(AND(#REF!="Milestone",BL$7&gt;=$F11,BL$7&lt;=$F11+$G11-1),1,""))</f>
        <v>#REF!</v>
      </c>
      <c r="BP11" s="16"/>
    </row>
    <row r="12" spans="1:68" s="1" customFormat="1" ht="40" customHeight="1" x14ac:dyDescent="0.2">
      <c r="A12" s="7"/>
      <c r="B12" s="60" t="s">
        <v>37</v>
      </c>
      <c r="C12" s="17" t="s">
        <v>10</v>
      </c>
      <c r="D12" s="17" t="s">
        <v>50</v>
      </c>
      <c r="E12" s="18">
        <v>0</v>
      </c>
      <c r="F12" s="19">
        <f t="shared" ref="F12:F17" ca="1" si="4">TODAY()</f>
        <v>46064</v>
      </c>
      <c r="G12" s="20">
        <v>8</v>
      </c>
      <c r="H12" s="17"/>
      <c r="I12" s="14" t="str">
        <f ca="1">IF(AND($C12="Goal",I$7&gt;=$F12,I$7&lt;=$F12+$G12-1),2,IF(AND($C12="Milestone",I$7&gt;=$F12,I$7&lt;=$F12+$G12-1),1,""))</f>
        <v/>
      </c>
      <c r="J12" s="14" t="str">
        <f t="shared" ref="J12:X17" ca="1" si="5">IF(AND($C12="Goal",J$7&gt;=$F12,J$7&lt;=$F12+$G12-1),2,IF(AND($C12="Milestone",J$7&gt;=$F12,J$7&lt;=$F12+$G12-1),1,""))</f>
        <v/>
      </c>
      <c r="K12" s="14" t="str">
        <f t="shared" ca="1" si="5"/>
        <v/>
      </c>
      <c r="L12" s="14" t="str">
        <f t="shared" ca="1" si="5"/>
        <v/>
      </c>
      <c r="M12" s="14" t="str">
        <f t="shared" ca="1" si="5"/>
        <v/>
      </c>
      <c r="N12" s="14" t="str">
        <f t="shared" ca="1" si="5"/>
        <v/>
      </c>
      <c r="O12" s="14" t="str">
        <f t="shared" ca="1" si="5"/>
        <v/>
      </c>
      <c r="P12" s="14" t="str">
        <f t="shared" ca="1" si="5"/>
        <v/>
      </c>
      <c r="Q12" s="14" t="str">
        <f t="shared" ca="1" si="5"/>
        <v/>
      </c>
      <c r="R12" s="14" t="str">
        <f t="shared" ca="1" si="5"/>
        <v/>
      </c>
      <c r="S12" s="14" t="str">
        <f t="shared" ca="1" si="5"/>
        <v/>
      </c>
      <c r="T12" s="14" t="str">
        <f t="shared" ca="1" si="5"/>
        <v/>
      </c>
      <c r="U12" s="14" t="str">
        <f t="shared" ca="1" si="5"/>
        <v/>
      </c>
      <c r="V12" s="14" t="str">
        <f t="shared" ca="1" si="5"/>
        <v/>
      </c>
      <c r="W12" s="14" t="str">
        <f t="shared" ca="1" si="5"/>
        <v/>
      </c>
      <c r="X12" s="14" t="str">
        <f t="shared" ca="1" si="5"/>
        <v/>
      </c>
      <c r="Y12" s="14" t="str">
        <f t="shared" ref="Y12:AN17" ca="1" si="6">IF(AND($C12="Goal",Y$7&gt;=$F12,Y$7&lt;=$F12+$G12-1),2,IF(AND($C12="Milestone",Y$7&gt;=$F12,Y$7&lt;=$F12+$G12-1),1,""))</f>
        <v/>
      </c>
      <c r="Z12" s="14" t="str">
        <f t="shared" ca="1" si="6"/>
        <v/>
      </c>
      <c r="AA12" s="14" t="str">
        <f t="shared" ca="1" si="6"/>
        <v/>
      </c>
      <c r="AB12" s="14" t="str">
        <f t="shared" ca="1" si="6"/>
        <v/>
      </c>
      <c r="AC12" s="14" t="str">
        <f t="shared" ca="1" si="6"/>
        <v/>
      </c>
      <c r="AD12" s="14" t="str">
        <f t="shared" ca="1" si="6"/>
        <v/>
      </c>
      <c r="AE12" s="14" t="str">
        <f t="shared" ca="1" si="6"/>
        <v/>
      </c>
      <c r="AF12" s="14" t="str">
        <f t="shared" ca="1" si="6"/>
        <v/>
      </c>
      <c r="AG12" s="14" t="str">
        <f t="shared" ca="1" si="6"/>
        <v/>
      </c>
      <c r="AH12" s="14" t="str">
        <f t="shared" ca="1" si="6"/>
        <v/>
      </c>
      <c r="AI12" s="14" t="str">
        <f t="shared" ca="1" si="6"/>
        <v/>
      </c>
      <c r="AJ12" s="14" t="str">
        <f t="shared" ca="1" si="6"/>
        <v/>
      </c>
      <c r="AK12" s="14" t="str">
        <f t="shared" ca="1" si="6"/>
        <v/>
      </c>
      <c r="AL12" s="14" t="str">
        <f t="shared" ca="1" si="6"/>
        <v/>
      </c>
      <c r="AM12" s="14" t="str">
        <f t="shared" ca="1" si="6"/>
        <v/>
      </c>
      <c r="AN12" s="14" t="str">
        <f t="shared" ca="1" si="6"/>
        <v/>
      </c>
      <c r="AO12" s="14" t="str">
        <f t="shared" ref="AO12:BD17" ca="1" si="7">IF(AND($C12="Goal",AO$7&gt;=$F12,AO$7&lt;=$F12+$G12-1),2,IF(AND($C12="Milestone",AO$7&gt;=$F12,AO$7&lt;=$F12+$G12-1),1,""))</f>
        <v/>
      </c>
      <c r="AP12" s="14" t="str">
        <f t="shared" ca="1" si="7"/>
        <v/>
      </c>
      <c r="AQ12" s="14" t="str">
        <f t="shared" ca="1" si="7"/>
        <v/>
      </c>
      <c r="AR12" s="14" t="str">
        <f t="shared" ca="1" si="7"/>
        <v/>
      </c>
      <c r="AS12" s="14" t="str">
        <f t="shared" ca="1" si="7"/>
        <v/>
      </c>
      <c r="AT12" s="14" t="str">
        <f t="shared" ca="1" si="7"/>
        <v/>
      </c>
      <c r="AU12" s="14" t="str">
        <f t="shared" ca="1" si="7"/>
        <v/>
      </c>
      <c r="AV12" s="14" t="str">
        <f t="shared" ca="1" si="7"/>
        <v/>
      </c>
      <c r="AW12" s="14" t="str">
        <f t="shared" ca="1" si="7"/>
        <v/>
      </c>
      <c r="AX12" s="14" t="str">
        <f t="shared" ca="1" si="7"/>
        <v/>
      </c>
      <c r="AY12" s="14" t="str">
        <f t="shared" ca="1" si="7"/>
        <v/>
      </c>
      <c r="AZ12" s="14" t="str">
        <f t="shared" ca="1" si="7"/>
        <v/>
      </c>
      <c r="BA12" s="14" t="str">
        <f t="shared" ca="1" si="7"/>
        <v/>
      </c>
      <c r="BB12" s="14" t="str">
        <f t="shared" ca="1" si="7"/>
        <v/>
      </c>
      <c r="BC12" s="14" t="str">
        <f t="shared" ca="1" si="7"/>
        <v/>
      </c>
      <c r="BD12" s="14" t="str">
        <f t="shared" ca="1" si="7"/>
        <v/>
      </c>
      <c r="BE12" s="14" t="str">
        <f t="shared" ref="BE12:BL17" ca="1" si="8">IF(AND($C12="Goal",BE$7&gt;=$F12,BE$7&lt;=$F12+$G12-1),2,IF(AND($C12="Milestone",BE$7&gt;=$F12,BE$7&lt;=$F12+$G12-1),1,""))</f>
        <v/>
      </c>
      <c r="BF12" s="14" t="str">
        <f t="shared" ca="1" si="8"/>
        <v/>
      </c>
      <c r="BG12" s="14" t="str">
        <f t="shared" ca="1" si="8"/>
        <v/>
      </c>
      <c r="BH12" s="14" t="str">
        <f t="shared" ca="1" si="8"/>
        <v/>
      </c>
      <c r="BI12" s="14" t="str">
        <f t="shared" ca="1" si="8"/>
        <v/>
      </c>
      <c r="BJ12" s="14" t="str">
        <f t="shared" ca="1" si="8"/>
        <v/>
      </c>
      <c r="BK12" s="14" t="str">
        <f t="shared" ca="1" si="8"/>
        <v/>
      </c>
      <c r="BL12" s="14" t="str">
        <f t="shared" ca="1" si="8"/>
        <v/>
      </c>
    </row>
    <row r="13" spans="1:68" s="1" customFormat="1" ht="40" customHeight="1" x14ac:dyDescent="0.2">
      <c r="A13" s="7"/>
      <c r="B13" s="60" t="s">
        <v>38</v>
      </c>
      <c r="C13" s="17" t="s">
        <v>10</v>
      </c>
      <c r="D13" s="17" t="s">
        <v>50</v>
      </c>
      <c r="E13" s="18">
        <v>0</v>
      </c>
      <c r="F13" s="19">
        <f t="shared" ca="1" si="4"/>
        <v>46064</v>
      </c>
      <c r="G13" s="20">
        <v>8</v>
      </c>
      <c r="H13" s="17"/>
      <c r="I13" s="14" t="str">
        <f t="shared" ref="I13:I17" ca="1" si="9">IF(AND($C13="Goal",I$7&gt;=$F13,I$7&lt;=$F13+$G13-1),2,IF(AND($C13="Milestone",I$7&gt;=$F13,I$7&lt;=$F13+$G13-1),1,""))</f>
        <v/>
      </c>
      <c r="J13" s="14" t="str">
        <f t="shared" ca="1" si="5"/>
        <v/>
      </c>
      <c r="K13" s="14" t="str">
        <f t="shared" ca="1" si="5"/>
        <v/>
      </c>
      <c r="L13" s="14" t="str">
        <f t="shared" ca="1" si="5"/>
        <v/>
      </c>
      <c r="M13" s="14" t="str">
        <f t="shared" ca="1" si="5"/>
        <v/>
      </c>
      <c r="N13" s="14" t="str">
        <f t="shared" ca="1" si="5"/>
        <v/>
      </c>
      <c r="O13" s="14" t="str">
        <f t="shared" ca="1" si="5"/>
        <v/>
      </c>
      <c r="P13" s="14" t="str">
        <f t="shared" ca="1" si="5"/>
        <v/>
      </c>
      <c r="Q13" s="14" t="str">
        <f t="shared" ca="1" si="5"/>
        <v/>
      </c>
      <c r="R13" s="14" t="str">
        <f t="shared" ca="1" si="5"/>
        <v/>
      </c>
      <c r="S13" s="14" t="str">
        <f t="shared" ca="1" si="5"/>
        <v/>
      </c>
      <c r="T13" s="14" t="str">
        <f t="shared" ca="1" si="5"/>
        <v/>
      </c>
      <c r="U13" s="14" t="str">
        <f t="shared" ca="1" si="5"/>
        <v/>
      </c>
      <c r="V13" s="14" t="str">
        <f t="shared" ca="1" si="5"/>
        <v/>
      </c>
      <c r="W13" s="14" t="str">
        <f t="shared" ca="1" si="5"/>
        <v/>
      </c>
      <c r="X13" s="14" t="str">
        <f t="shared" ca="1" si="5"/>
        <v/>
      </c>
      <c r="Y13" s="14" t="str">
        <f t="shared" ca="1" si="6"/>
        <v/>
      </c>
      <c r="Z13" s="14" t="str">
        <f t="shared" ca="1" si="6"/>
        <v/>
      </c>
      <c r="AA13" s="14" t="str">
        <f t="shared" ca="1" si="6"/>
        <v/>
      </c>
      <c r="AB13" s="14" t="str">
        <f t="shared" ca="1" si="6"/>
        <v/>
      </c>
      <c r="AC13" s="14" t="str">
        <f t="shared" ca="1" si="6"/>
        <v/>
      </c>
      <c r="AD13" s="14" t="str">
        <f t="shared" ca="1" si="6"/>
        <v/>
      </c>
      <c r="AE13" s="14" t="str">
        <f t="shared" ca="1" si="6"/>
        <v/>
      </c>
      <c r="AF13" s="14" t="str">
        <f t="shared" ca="1" si="6"/>
        <v/>
      </c>
      <c r="AG13" s="14" t="str">
        <f t="shared" ca="1" si="6"/>
        <v/>
      </c>
      <c r="AH13" s="14" t="str">
        <f t="shared" ca="1" si="6"/>
        <v/>
      </c>
      <c r="AI13" s="14" t="str">
        <f t="shared" ca="1" si="6"/>
        <v/>
      </c>
      <c r="AJ13" s="14" t="str">
        <f t="shared" ca="1" si="6"/>
        <v/>
      </c>
      <c r="AK13" s="14" t="str">
        <f t="shared" ca="1" si="6"/>
        <v/>
      </c>
      <c r="AL13" s="14" t="str">
        <f t="shared" ca="1" si="6"/>
        <v/>
      </c>
      <c r="AM13" s="14" t="str">
        <f t="shared" ca="1" si="6"/>
        <v/>
      </c>
      <c r="AN13" s="14" t="str">
        <f t="shared" ca="1" si="6"/>
        <v/>
      </c>
      <c r="AO13" s="14" t="str">
        <f t="shared" ca="1" si="7"/>
        <v/>
      </c>
      <c r="AP13" s="14" t="str">
        <f t="shared" ca="1" si="7"/>
        <v/>
      </c>
      <c r="AQ13" s="14" t="str">
        <f t="shared" ca="1" si="7"/>
        <v/>
      </c>
      <c r="AR13" s="14" t="str">
        <f t="shared" ca="1" si="7"/>
        <v/>
      </c>
      <c r="AS13" s="14" t="str">
        <f t="shared" ca="1" si="7"/>
        <v/>
      </c>
      <c r="AT13" s="14" t="str">
        <f t="shared" ca="1" si="7"/>
        <v/>
      </c>
      <c r="AU13" s="14" t="str">
        <f t="shared" ca="1" si="7"/>
        <v/>
      </c>
      <c r="AV13" s="14" t="str">
        <f t="shared" ca="1" si="7"/>
        <v/>
      </c>
      <c r="AW13" s="14" t="str">
        <f t="shared" ca="1" si="7"/>
        <v/>
      </c>
      <c r="AX13" s="14" t="str">
        <f t="shared" ca="1" si="7"/>
        <v/>
      </c>
      <c r="AY13" s="14" t="str">
        <f t="shared" ca="1" si="7"/>
        <v/>
      </c>
      <c r="AZ13" s="14" t="str">
        <f t="shared" ca="1" si="7"/>
        <v/>
      </c>
      <c r="BA13" s="14" t="str">
        <f t="shared" ca="1" si="7"/>
        <v/>
      </c>
      <c r="BB13" s="14" t="str">
        <f t="shared" ca="1" si="7"/>
        <v/>
      </c>
      <c r="BC13" s="14" t="str">
        <f t="shared" ca="1" si="7"/>
        <v/>
      </c>
      <c r="BD13" s="14" t="str">
        <f t="shared" ca="1" si="7"/>
        <v/>
      </c>
      <c r="BE13" s="14" t="str">
        <f t="shared" ca="1" si="8"/>
        <v/>
      </c>
      <c r="BF13" s="14" t="str">
        <f t="shared" ca="1" si="8"/>
        <v/>
      </c>
      <c r="BG13" s="14" t="str">
        <f t="shared" ca="1" si="8"/>
        <v/>
      </c>
      <c r="BH13" s="14" t="str">
        <f t="shared" ca="1" si="8"/>
        <v/>
      </c>
      <c r="BI13" s="14" t="str">
        <f t="shared" ca="1" si="8"/>
        <v/>
      </c>
      <c r="BJ13" s="14" t="str">
        <f t="shared" ca="1" si="8"/>
        <v/>
      </c>
      <c r="BK13" s="14" t="str">
        <f t="shared" ca="1" si="8"/>
        <v/>
      </c>
      <c r="BL13" s="14" t="str">
        <f t="shared" ca="1" si="8"/>
        <v/>
      </c>
    </row>
    <row r="14" spans="1:68" s="1" customFormat="1" ht="40" customHeight="1" x14ac:dyDescent="0.2">
      <c r="A14" s="7"/>
      <c r="B14" s="60" t="s">
        <v>42</v>
      </c>
      <c r="C14" s="17" t="s">
        <v>10</v>
      </c>
      <c r="D14" s="17" t="s">
        <v>50</v>
      </c>
      <c r="E14" s="18">
        <v>0</v>
      </c>
      <c r="F14" s="19">
        <f t="shared" ca="1" si="4"/>
        <v>46064</v>
      </c>
      <c r="G14" s="20">
        <v>8</v>
      </c>
      <c r="H14" s="17"/>
      <c r="I14" s="14" t="str">
        <f t="shared" ca="1" si="9"/>
        <v/>
      </c>
      <c r="J14" s="14" t="str">
        <f t="shared" ca="1" si="5"/>
        <v/>
      </c>
      <c r="K14" s="14" t="str">
        <f t="shared" ca="1" si="5"/>
        <v/>
      </c>
      <c r="L14" s="14" t="str">
        <f t="shared" ca="1" si="5"/>
        <v/>
      </c>
      <c r="M14" s="14" t="str">
        <f t="shared" ca="1" si="5"/>
        <v/>
      </c>
      <c r="N14" s="14" t="str">
        <f t="shared" ca="1" si="5"/>
        <v/>
      </c>
      <c r="O14" s="14" t="str">
        <f t="shared" ca="1" si="5"/>
        <v/>
      </c>
      <c r="P14" s="14" t="str">
        <f t="shared" ca="1" si="5"/>
        <v/>
      </c>
      <c r="Q14" s="14" t="str">
        <f t="shared" ca="1" si="5"/>
        <v/>
      </c>
      <c r="R14" s="14" t="str">
        <f t="shared" ca="1" si="5"/>
        <v/>
      </c>
      <c r="S14" s="14" t="str">
        <f t="shared" ca="1" si="5"/>
        <v/>
      </c>
      <c r="T14" s="14" t="str">
        <f t="shared" ca="1" si="5"/>
        <v/>
      </c>
      <c r="U14" s="14" t="str">
        <f t="shared" ca="1" si="5"/>
        <v/>
      </c>
      <c r="V14" s="14" t="str">
        <f t="shared" ca="1" si="5"/>
        <v/>
      </c>
      <c r="W14" s="14" t="str">
        <f t="shared" ca="1" si="5"/>
        <v/>
      </c>
      <c r="X14" s="14" t="str">
        <f t="shared" ca="1" si="5"/>
        <v/>
      </c>
      <c r="Y14" s="14" t="str">
        <f t="shared" ca="1" si="6"/>
        <v/>
      </c>
      <c r="Z14" s="14" t="str">
        <f t="shared" ca="1" si="6"/>
        <v/>
      </c>
      <c r="AA14" s="14" t="str">
        <f t="shared" ca="1" si="6"/>
        <v/>
      </c>
      <c r="AB14" s="14" t="str">
        <f t="shared" ca="1" si="6"/>
        <v/>
      </c>
      <c r="AC14" s="14" t="str">
        <f t="shared" ca="1" si="6"/>
        <v/>
      </c>
      <c r="AD14" s="14" t="str">
        <f t="shared" ca="1" si="6"/>
        <v/>
      </c>
      <c r="AE14" s="14" t="str">
        <f t="shared" ca="1" si="6"/>
        <v/>
      </c>
      <c r="AF14" s="14" t="str">
        <f t="shared" ca="1" si="6"/>
        <v/>
      </c>
      <c r="AG14" s="14" t="str">
        <f t="shared" ca="1" si="6"/>
        <v/>
      </c>
      <c r="AH14" s="14" t="str">
        <f t="shared" ca="1" si="6"/>
        <v/>
      </c>
      <c r="AI14" s="14" t="str">
        <f t="shared" ca="1" si="6"/>
        <v/>
      </c>
      <c r="AJ14" s="14" t="str">
        <f t="shared" ca="1" si="6"/>
        <v/>
      </c>
      <c r="AK14" s="14" t="str">
        <f t="shared" ca="1" si="6"/>
        <v/>
      </c>
      <c r="AL14" s="14" t="str">
        <f t="shared" ca="1" si="6"/>
        <v/>
      </c>
      <c r="AM14" s="14" t="str">
        <f t="shared" ca="1" si="6"/>
        <v/>
      </c>
      <c r="AN14" s="14" t="str">
        <f t="shared" ca="1" si="6"/>
        <v/>
      </c>
      <c r="AO14" s="14" t="str">
        <f t="shared" ca="1" si="7"/>
        <v/>
      </c>
      <c r="AP14" s="14" t="str">
        <f t="shared" ca="1" si="7"/>
        <v/>
      </c>
      <c r="AQ14" s="14" t="str">
        <f t="shared" ca="1" si="7"/>
        <v/>
      </c>
      <c r="AR14" s="14" t="str">
        <f t="shared" ca="1" si="7"/>
        <v/>
      </c>
      <c r="AS14" s="14" t="str">
        <f t="shared" ca="1" si="7"/>
        <v/>
      </c>
      <c r="AT14" s="14" t="str">
        <f t="shared" ca="1" si="7"/>
        <v/>
      </c>
      <c r="AU14" s="14" t="str">
        <f t="shared" ca="1" si="7"/>
        <v/>
      </c>
      <c r="AV14" s="14" t="str">
        <f t="shared" ca="1" si="7"/>
        <v/>
      </c>
      <c r="AW14" s="14" t="str">
        <f t="shared" ca="1" si="7"/>
        <v/>
      </c>
      <c r="AX14" s="14" t="str">
        <f t="shared" ca="1" si="7"/>
        <v/>
      </c>
      <c r="AY14" s="14" t="str">
        <f t="shared" ca="1" si="7"/>
        <v/>
      </c>
      <c r="AZ14" s="14" t="str">
        <f t="shared" ca="1" si="7"/>
        <v/>
      </c>
      <c r="BA14" s="14" t="str">
        <f t="shared" ca="1" si="7"/>
        <v/>
      </c>
      <c r="BB14" s="14" t="str">
        <f t="shared" ca="1" si="7"/>
        <v/>
      </c>
      <c r="BC14" s="14" t="str">
        <f t="shared" ca="1" si="7"/>
        <v/>
      </c>
      <c r="BD14" s="14" t="str">
        <f t="shared" ca="1" si="7"/>
        <v/>
      </c>
      <c r="BE14" s="14" t="str">
        <f t="shared" ca="1" si="8"/>
        <v/>
      </c>
      <c r="BF14" s="14" t="str">
        <f t="shared" ca="1" si="8"/>
        <v/>
      </c>
      <c r="BG14" s="14" t="str">
        <f t="shared" ca="1" si="8"/>
        <v/>
      </c>
      <c r="BH14" s="14" t="str">
        <f t="shared" ca="1" si="8"/>
        <v/>
      </c>
      <c r="BI14" s="14" t="str">
        <f t="shared" ca="1" si="8"/>
        <v/>
      </c>
      <c r="BJ14" s="14" t="str">
        <f t="shared" ca="1" si="8"/>
        <v/>
      </c>
      <c r="BK14" s="14" t="str">
        <f t="shared" ca="1" si="8"/>
        <v/>
      </c>
      <c r="BL14" s="14" t="str">
        <f t="shared" ca="1" si="8"/>
        <v/>
      </c>
    </row>
    <row r="15" spans="1:68" s="1" customFormat="1" ht="40" customHeight="1" x14ac:dyDescent="0.2">
      <c r="A15" s="6"/>
      <c r="B15" s="60" t="s">
        <v>41</v>
      </c>
      <c r="C15" s="17" t="s">
        <v>10</v>
      </c>
      <c r="D15" s="17" t="s">
        <v>50</v>
      </c>
      <c r="E15" s="18">
        <v>0</v>
      </c>
      <c r="F15" s="19">
        <f t="shared" ca="1" si="4"/>
        <v>46064</v>
      </c>
      <c r="G15" s="20">
        <v>8</v>
      </c>
      <c r="H15" s="17"/>
      <c r="I15" s="14"/>
      <c r="J15" s="14"/>
      <c r="K15" s="14"/>
      <c r="L15" s="14"/>
      <c r="M15" s="14"/>
      <c r="N15" s="14"/>
      <c r="O15" s="14"/>
      <c r="P15" s="14" t="str">
        <f t="shared" ca="1" si="5"/>
        <v/>
      </c>
      <c r="Q15" s="14" t="str">
        <f t="shared" ca="1" si="5"/>
        <v/>
      </c>
      <c r="R15" s="14" t="str">
        <f t="shared" ca="1" si="5"/>
        <v/>
      </c>
      <c r="S15" s="14" t="str">
        <f t="shared" ca="1" si="5"/>
        <v/>
      </c>
      <c r="T15" s="14" t="str">
        <f t="shared" ca="1" si="5"/>
        <v/>
      </c>
      <c r="U15" s="14" t="str">
        <f t="shared" ca="1" si="5"/>
        <v/>
      </c>
      <c r="V15" s="14" t="str">
        <f t="shared" ca="1" si="5"/>
        <v/>
      </c>
      <c r="W15" s="14" t="str">
        <f t="shared" ca="1" si="5"/>
        <v/>
      </c>
      <c r="X15" s="14" t="str">
        <f t="shared" ca="1" si="5"/>
        <v/>
      </c>
      <c r="Y15" s="14" t="str">
        <f t="shared" ca="1" si="6"/>
        <v/>
      </c>
      <c r="Z15" s="14" t="str">
        <f t="shared" ca="1" si="6"/>
        <v/>
      </c>
      <c r="AA15" s="14" t="str">
        <f t="shared" ca="1" si="6"/>
        <v/>
      </c>
      <c r="AB15" s="14" t="str">
        <f t="shared" ca="1" si="6"/>
        <v/>
      </c>
      <c r="AC15" s="14" t="str">
        <f t="shared" ca="1" si="6"/>
        <v/>
      </c>
      <c r="AD15" s="14" t="str">
        <f t="shared" ca="1" si="6"/>
        <v/>
      </c>
      <c r="AE15" s="14" t="str">
        <f t="shared" ca="1" si="6"/>
        <v/>
      </c>
      <c r="AF15" s="14" t="str">
        <f t="shared" ca="1" si="6"/>
        <v/>
      </c>
      <c r="AG15" s="14" t="str">
        <f t="shared" ca="1" si="6"/>
        <v/>
      </c>
      <c r="AH15" s="14" t="str">
        <f t="shared" ca="1" si="6"/>
        <v/>
      </c>
      <c r="AI15" s="14" t="str">
        <f t="shared" ca="1" si="6"/>
        <v/>
      </c>
      <c r="AJ15" s="14" t="str">
        <f t="shared" ca="1" si="6"/>
        <v/>
      </c>
      <c r="AK15" s="14" t="str">
        <f t="shared" ca="1" si="6"/>
        <v/>
      </c>
      <c r="AL15" s="14" t="str">
        <f t="shared" ca="1" si="6"/>
        <v/>
      </c>
      <c r="AM15" s="14" t="str">
        <f t="shared" ca="1" si="6"/>
        <v/>
      </c>
      <c r="AN15" s="14" t="str">
        <f t="shared" ca="1" si="6"/>
        <v/>
      </c>
      <c r="AO15" s="14" t="str">
        <f t="shared" ca="1" si="7"/>
        <v/>
      </c>
      <c r="AP15" s="14" t="str">
        <f t="shared" ca="1" si="7"/>
        <v/>
      </c>
      <c r="AQ15" s="14" t="str">
        <f t="shared" ca="1" si="7"/>
        <v/>
      </c>
      <c r="AR15" s="14" t="str">
        <f t="shared" ca="1" si="7"/>
        <v/>
      </c>
      <c r="AS15" s="14" t="str">
        <f t="shared" ca="1" si="7"/>
        <v/>
      </c>
      <c r="AT15" s="14" t="str">
        <f t="shared" ca="1" si="7"/>
        <v/>
      </c>
      <c r="AU15" s="14" t="str">
        <f t="shared" ca="1" si="7"/>
        <v/>
      </c>
      <c r="AV15" s="14" t="str">
        <f t="shared" ca="1" si="7"/>
        <v/>
      </c>
      <c r="AW15" s="14" t="str">
        <f t="shared" ca="1" si="7"/>
        <v/>
      </c>
      <c r="AX15" s="14" t="str">
        <f t="shared" ca="1" si="7"/>
        <v/>
      </c>
      <c r="AY15" s="14" t="str">
        <f t="shared" ca="1" si="7"/>
        <v/>
      </c>
      <c r="AZ15" s="14" t="str">
        <f t="shared" ca="1" si="7"/>
        <v/>
      </c>
      <c r="BA15" s="14" t="str">
        <f t="shared" ca="1" si="7"/>
        <v/>
      </c>
      <c r="BB15" s="14" t="str">
        <f t="shared" ca="1" si="7"/>
        <v/>
      </c>
      <c r="BC15" s="14" t="str">
        <f t="shared" ca="1" si="7"/>
        <v/>
      </c>
      <c r="BD15" s="14" t="str">
        <f t="shared" ca="1" si="7"/>
        <v/>
      </c>
      <c r="BE15" s="14" t="str">
        <f t="shared" ca="1" si="8"/>
        <v/>
      </c>
      <c r="BF15" s="14" t="str">
        <f t="shared" ca="1" si="8"/>
        <v/>
      </c>
      <c r="BG15" s="14" t="str">
        <f t="shared" ca="1" si="8"/>
        <v/>
      </c>
      <c r="BH15" s="14" t="str">
        <f t="shared" ca="1" si="8"/>
        <v/>
      </c>
      <c r="BI15" s="14" t="str">
        <f t="shared" ca="1" si="8"/>
        <v/>
      </c>
      <c r="BJ15" s="14" t="str">
        <f t="shared" ca="1" si="8"/>
        <v/>
      </c>
      <c r="BK15" s="14" t="str">
        <f t="shared" ca="1" si="8"/>
        <v/>
      </c>
      <c r="BL15" s="14" t="str">
        <f t="shared" ca="1" si="8"/>
        <v/>
      </c>
    </row>
    <row r="16" spans="1:68" s="1" customFormat="1" ht="40" customHeight="1" x14ac:dyDescent="0.2">
      <c r="A16" s="6"/>
      <c r="B16" s="60" t="s">
        <v>39</v>
      </c>
      <c r="C16" s="17" t="s">
        <v>10</v>
      </c>
      <c r="D16" s="17" t="s">
        <v>50</v>
      </c>
      <c r="E16" s="18">
        <v>0</v>
      </c>
      <c r="F16" s="19">
        <f t="shared" ca="1" si="4"/>
        <v>46064</v>
      </c>
      <c r="G16" s="20">
        <v>8</v>
      </c>
      <c r="H16" s="17"/>
      <c r="I16" s="14" t="str">
        <f t="shared" ca="1" si="9"/>
        <v/>
      </c>
      <c r="J16" s="14" t="str">
        <f t="shared" ca="1" si="5"/>
        <v/>
      </c>
      <c r="K16" s="14" t="str">
        <f t="shared" ca="1" si="5"/>
        <v/>
      </c>
      <c r="L16" s="14" t="str">
        <f t="shared" ca="1" si="5"/>
        <v/>
      </c>
      <c r="M16" s="14" t="str">
        <f t="shared" ca="1" si="5"/>
        <v/>
      </c>
      <c r="N16" s="14" t="str">
        <f t="shared" ca="1" si="5"/>
        <v/>
      </c>
      <c r="O16" s="14" t="str">
        <f t="shared" ca="1" si="5"/>
        <v/>
      </c>
      <c r="P16" s="14" t="str">
        <f t="shared" ca="1" si="5"/>
        <v/>
      </c>
      <c r="Q16" s="14" t="str">
        <f t="shared" ca="1" si="5"/>
        <v/>
      </c>
      <c r="R16" s="14" t="str">
        <f t="shared" ca="1" si="5"/>
        <v/>
      </c>
      <c r="S16" s="14" t="str">
        <f t="shared" ca="1" si="5"/>
        <v/>
      </c>
      <c r="T16" s="14" t="str">
        <f t="shared" ca="1" si="5"/>
        <v/>
      </c>
      <c r="U16" s="14" t="str">
        <f t="shared" ca="1" si="5"/>
        <v/>
      </c>
      <c r="V16" s="14" t="str">
        <f t="shared" ca="1" si="5"/>
        <v/>
      </c>
      <c r="W16" s="14" t="str">
        <f t="shared" ca="1" si="5"/>
        <v/>
      </c>
      <c r="X16" s="14" t="str">
        <f t="shared" ca="1" si="5"/>
        <v/>
      </c>
      <c r="Y16" s="14" t="str">
        <f t="shared" ca="1" si="6"/>
        <v/>
      </c>
      <c r="Z16" s="14" t="str">
        <f t="shared" ca="1" si="6"/>
        <v/>
      </c>
      <c r="AA16" s="14" t="str">
        <f t="shared" ca="1" si="6"/>
        <v/>
      </c>
      <c r="AB16" s="14" t="str">
        <f t="shared" ca="1" si="6"/>
        <v/>
      </c>
      <c r="AC16" s="14" t="str">
        <f t="shared" ca="1" si="6"/>
        <v/>
      </c>
      <c r="AD16" s="14" t="str">
        <f t="shared" ca="1" si="6"/>
        <v/>
      </c>
      <c r="AE16" s="14" t="str">
        <f t="shared" ca="1" si="6"/>
        <v/>
      </c>
      <c r="AF16" s="14" t="str">
        <f t="shared" ca="1" si="6"/>
        <v/>
      </c>
      <c r="AG16" s="14" t="str">
        <f t="shared" ca="1" si="6"/>
        <v/>
      </c>
      <c r="AH16" s="14" t="str">
        <f t="shared" ca="1" si="6"/>
        <v/>
      </c>
      <c r="AI16" s="14" t="str">
        <f t="shared" ca="1" si="6"/>
        <v/>
      </c>
      <c r="AJ16" s="14" t="str">
        <f t="shared" ca="1" si="6"/>
        <v/>
      </c>
      <c r="AK16" s="14" t="str">
        <f t="shared" ca="1" si="6"/>
        <v/>
      </c>
      <c r="AL16" s="14" t="str">
        <f t="shared" ca="1" si="6"/>
        <v/>
      </c>
      <c r="AM16" s="14" t="str">
        <f t="shared" ca="1" si="6"/>
        <v/>
      </c>
      <c r="AN16" s="14" t="str">
        <f t="shared" ca="1" si="6"/>
        <v/>
      </c>
      <c r="AO16" s="14" t="str">
        <f t="shared" ca="1" si="7"/>
        <v/>
      </c>
      <c r="AP16" s="14" t="str">
        <f t="shared" ca="1" si="7"/>
        <v/>
      </c>
      <c r="AQ16" s="14" t="str">
        <f t="shared" ca="1" si="7"/>
        <v/>
      </c>
      <c r="AR16" s="14" t="str">
        <f t="shared" ca="1" si="7"/>
        <v/>
      </c>
      <c r="AS16" s="14" t="str">
        <f t="shared" ca="1" si="7"/>
        <v/>
      </c>
      <c r="AT16" s="14" t="str">
        <f t="shared" ca="1" si="7"/>
        <v/>
      </c>
      <c r="AU16" s="14" t="str">
        <f t="shared" ca="1" si="7"/>
        <v/>
      </c>
      <c r="AV16" s="14" t="str">
        <f t="shared" ca="1" si="7"/>
        <v/>
      </c>
      <c r="AW16" s="14" t="str">
        <f t="shared" ca="1" si="7"/>
        <v/>
      </c>
      <c r="AX16" s="14" t="str">
        <f t="shared" ca="1" si="7"/>
        <v/>
      </c>
      <c r="AY16" s="14" t="str">
        <f t="shared" ca="1" si="7"/>
        <v/>
      </c>
      <c r="AZ16" s="14" t="str">
        <f t="shared" ca="1" si="7"/>
        <v/>
      </c>
      <c r="BA16" s="14" t="str">
        <f t="shared" ca="1" si="7"/>
        <v/>
      </c>
      <c r="BB16" s="14" t="str">
        <f t="shared" ca="1" si="7"/>
        <v/>
      </c>
      <c r="BC16" s="14" t="str">
        <f t="shared" ca="1" si="7"/>
        <v/>
      </c>
      <c r="BD16" s="14" t="str">
        <f t="shared" ca="1" si="7"/>
        <v/>
      </c>
      <c r="BE16" s="14" t="str">
        <f t="shared" ca="1" si="8"/>
        <v/>
      </c>
      <c r="BF16" s="14" t="str">
        <f t="shared" ca="1" si="8"/>
        <v/>
      </c>
      <c r="BG16" s="14" t="str">
        <f t="shared" ca="1" si="8"/>
        <v/>
      </c>
      <c r="BH16" s="14" t="str">
        <f t="shared" ca="1" si="8"/>
        <v/>
      </c>
      <c r="BI16" s="14" t="str">
        <f t="shared" ca="1" si="8"/>
        <v/>
      </c>
      <c r="BJ16" s="14" t="str">
        <f t="shared" ca="1" si="8"/>
        <v/>
      </c>
      <c r="BK16" s="14" t="str">
        <f t="shared" ca="1" si="8"/>
        <v/>
      </c>
      <c r="BL16" s="14" t="str">
        <f t="shared" ca="1" si="8"/>
        <v/>
      </c>
    </row>
    <row r="17" spans="1:64" s="1" customFormat="1" ht="40" customHeight="1" x14ac:dyDescent="0.2">
      <c r="A17" s="6"/>
      <c r="B17" s="60" t="s">
        <v>40</v>
      </c>
      <c r="C17" s="17" t="s">
        <v>10</v>
      </c>
      <c r="D17" s="17" t="s">
        <v>50</v>
      </c>
      <c r="E17" s="18">
        <v>1</v>
      </c>
      <c r="F17" s="19">
        <f t="shared" ca="1" si="4"/>
        <v>46064</v>
      </c>
      <c r="G17" s="20">
        <v>1</v>
      </c>
      <c r="H17" s="17"/>
      <c r="I17" s="14" t="str">
        <f t="shared" ca="1" si="9"/>
        <v/>
      </c>
      <c r="J17" s="14" t="str">
        <f t="shared" ca="1" si="5"/>
        <v/>
      </c>
      <c r="K17" s="14" t="str">
        <f t="shared" ca="1" si="5"/>
        <v/>
      </c>
      <c r="L17" s="14" t="str">
        <f t="shared" ca="1" si="5"/>
        <v/>
      </c>
      <c r="M17" s="14" t="str">
        <f t="shared" ca="1" si="5"/>
        <v/>
      </c>
      <c r="N17" s="14" t="str">
        <f t="shared" ca="1" si="5"/>
        <v/>
      </c>
      <c r="O17" s="14" t="str">
        <f t="shared" ca="1" si="5"/>
        <v/>
      </c>
      <c r="P17" s="14" t="str">
        <f t="shared" ca="1" si="5"/>
        <v/>
      </c>
      <c r="Q17" s="14" t="str">
        <f t="shared" ca="1" si="5"/>
        <v/>
      </c>
      <c r="R17" s="14" t="str">
        <f t="shared" ca="1" si="5"/>
        <v/>
      </c>
      <c r="S17" s="14" t="str">
        <f t="shared" ca="1" si="5"/>
        <v/>
      </c>
      <c r="T17" s="14" t="str">
        <f t="shared" ca="1" si="5"/>
        <v/>
      </c>
      <c r="U17" s="14" t="str">
        <f t="shared" ca="1" si="5"/>
        <v/>
      </c>
      <c r="V17" s="14" t="str">
        <f t="shared" ca="1" si="5"/>
        <v/>
      </c>
      <c r="W17" s="14" t="str">
        <f t="shared" ca="1" si="5"/>
        <v/>
      </c>
      <c r="X17" s="14" t="str">
        <f t="shared" ca="1" si="5"/>
        <v/>
      </c>
      <c r="Y17" s="14" t="str">
        <f t="shared" ca="1" si="6"/>
        <v/>
      </c>
      <c r="Z17" s="14" t="str">
        <f t="shared" ca="1" si="6"/>
        <v/>
      </c>
      <c r="AA17" s="14" t="str">
        <f t="shared" ca="1" si="6"/>
        <v/>
      </c>
      <c r="AB17" s="14" t="str">
        <f t="shared" ca="1" si="6"/>
        <v/>
      </c>
      <c r="AC17" s="14" t="str">
        <f t="shared" ca="1" si="6"/>
        <v/>
      </c>
      <c r="AD17" s="14" t="str">
        <f t="shared" ca="1" si="6"/>
        <v/>
      </c>
      <c r="AE17" s="14" t="str">
        <f t="shared" ca="1" si="6"/>
        <v/>
      </c>
      <c r="AF17" s="14" t="str">
        <f t="shared" ca="1" si="6"/>
        <v/>
      </c>
      <c r="AG17" s="14" t="str">
        <f t="shared" ca="1" si="6"/>
        <v/>
      </c>
      <c r="AH17" s="14" t="str">
        <f t="shared" ca="1" si="6"/>
        <v/>
      </c>
      <c r="AI17" s="14" t="str">
        <f t="shared" ca="1" si="6"/>
        <v/>
      </c>
      <c r="AJ17" s="14" t="str">
        <f t="shared" ca="1" si="6"/>
        <v/>
      </c>
      <c r="AK17" s="14" t="str">
        <f t="shared" ca="1" si="6"/>
        <v/>
      </c>
      <c r="AL17" s="14" t="str">
        <f t="shared" ca="1" si="6"/>
        <v/>
      </c>
      <c r="AM17" s="14" t="str">
        <f t="shared" ca="1" si="6"/>
        <v/>
      </c>
      <c r="AN17" s="14" t="str">
        <f t="shared" ca="1" si="6"/>
        <v/>
      </c>
      <c r="AO17" s="14" t="str">
        <f t="shared" ca="1" si="7"/>
        <v/>
      </c>
      <c r="AP17" s="14" t="str">
        <f t="shared" ca="1" si="7"/>
        <v/>
      </c>
      <c r="AQ17" s="14" t="str">
        <f t="shared" ca="1" si="7"/>
        <v/>
      </c>
      <c r="AR17" s="14" t="str">
        <f t="shared" ca="1" si="7"/>
        <v/>
      </c>
      <c r="AS17" s="14" t="str">
        <f t="shared" ca="1" si="7"/>
        <v/>
      </c>
      <c r="AT17" s="14" t="str">
        <f t="shared" ca="1" si="7"/>
        <v/>
      </c>
      <c r="AU17" s="14" t="str">
        <f t="shared" ca="1" si="7"/>
        <v/>
      </c>
      <c r="AV17" s="14" t="str">
        <f t="shared" ca="1" si="7"/>
        <v/>
      </c>
      <c r="AW17" s="14" t="str">
        <f t="shared" ca="1" si="7"/>
        <v/>
      </c>
      <c r="AX17" s="14" t="str">
        <f t="shared" ca="1" si="7"/>
        <v/>
      </c>
      <c r="AY17" s="14" t="str">
        <f t="shared" ca="1" si="7"/>
        <v/>
      </c>
      <c r="AZ17" s="14" t="str">
        <f t="shared" ca="1" si="7"/>
        <v/>
      </c>
      <c r="BA17" s="14" t="str">
        <f t="shared" ca="1" si="7"/>
        <v/>
      </c>
      <c r="BB17" s="14" t="str">
        <f t="shared" ca="1" si="7"/>
        <v/>
      </c>
      <c r="BC17" s="14" t="str">
        <f t="shared" ca="1" si="7"/>
        <v/>
      </c>
      <c r="BD17" s="14" t="str">
        <f t="shared" ca="1" si="7"/>
        <v/>
      </c>
      <c r="BE17" s="14" t="str">
        <f t="shared" ca="1" si="8"/>
        <v/>
      </c>
      <c r="BF17" s="14" t="str">
        <f t="shared" ca="1" si="8"/>
        <v/>
      </c>
      <c r="BG17" s="14" t="str">
        <f t="shared" ca="1" si="8"/>
        <v/>
      </c>
      <c r="BH17" s="14" t="str">
        <f t="shared" ca="1" si="8"/>
        <v/>
      </c>
      <c r="BI17" s="14" t="str">
        <f t="shared" ca="1" si="8"/>
        <v/>
      </c>
      <c r="BJ17" s="14" t="str">
        <f t="shared" ca="1" si="8"/>
        <v/>
      </c>
      <c r="BK17" s="14" t="str">
        <f t="shared" ca="1" si="8"/>
        <v/>
      </c>
      <c r="BL17" s="14" t="str">
        <f t="shared" ca="1" si="8"/>
        <v/>
      </c>
    </row>
    <row r="18" spans="1:64" s="1" customFormat="1" ht="40" customHeight="1" x14ac:dyDescent="0.2">
      <c r="A18" s="6"/>
      <c r="B18" s="60" t="s">
        <v>43</v>
      </c>
      <c r="C18" s="17" t="s">
        <v>10</v>
      </c>
      <c r="D18" s="17" t="s">
        <v>50</v>
      </c>
      <c r="E18" s="18">
        <v>0</v>
      </c>
      <c r="F18" s="19">
        <f>DATE(2026, 2, 19)</f>
        <v>46072</v>
      </c>
      <c r="G18" s="20">
        <v>8</v>
      </c>
      <c r="H18" s="17"/>
      <c r="I18" s="14" t="str">
        <f t="shared" ref="I18:R19" ca="1" si="10">IF(AND($C18="Goal",I$7&gt;=$F18,I$7&lt;=$F18+$G18-1),2,IF(AND($C18="Milestone",I$7&gt;=$F18,I$7&lt;=$F18+$G18-1),1,""))</f>
        <v/>
      </c>
      <c r="J18" s="14" t="str">
        <f t="shared" ca="1" si="10"/>
        <v/>
      </c>
      <c r="K18" s="14" t="str">
        <f t="shared" ca="1" si="10"/>
        <v/>
      </c>
      <c r="L18" s="14" t="str">
        <f t="shared" ca="1" si="10"/>
        <v/>
      </c>
      <c r="M18" s="14" t="str">
        <f t="shared" ca="1" si="10"/>
        <v/>
      </c>
      <c r="N18" s="14" t="str">
        <f t="shared" ca="1" si="10"/>
        <v/>
      </c>
      <c r="O18" s="14" t="str">
        <f t="shared" ca="1" si="10"/>
        <v/>
      </c>
      <c r="P18" s="14" t="str">
        <f t="shared" ca="1" si="10"/>
        <v/>
      </c>
      <c r="Q18" s="14" t="str">
        <f t="shared" ca="1" si="10"/>
        <v/>
      </c>
      <c r="R18" s="14" t="str">
        <f t="shared" ca="1" si="10"/>
        <v/>
      </c>
      <c r="S18" s="14" t="str">
        <f t="shared" ref="S18:AB19" ca="1" si="11">IF(AND($C18="Goal",S$7&gt;=$F18,S$7&lt;=$F18+$G18-1),2,IF(AND($C18="Milestone",S$7&gt;=$F18,S$7&lt;=$F18+$G18-1),1,""))</f>
        <v/>
      </c>
      <c r="T18" s="14" t="str">
        <f t="shared" ca="1" si="11"/>
        <v/>
      </c>
      <c r="U18" s="14" t="str">
        <f t="shared" ca="1" si="11"/>
        <v/>
      </c>
      <c r="V18" s="14" t="str">
        <f t="shared" ca="1" si="11"/>
        <v/>
      </c>
      <c r="W18" s="14" t="str">
        <f t="shared" ca="1" si="11"/>
        <v/>
      </c>
      <c r="X18" s="14" t="str">
        <f t="shared" ca="1" si="11"/>
        <v/>
      </c>
      <c r="Y18" s="14" t="str">
        <f t="shared" ca="1" si="11"/>
        <v/>
      </c>
      <c r="Z18" s="14" t="str">
        <f t="shared" ca="1" si="11"/>
        <v/>
      </c>
      <c r="AA18" s="14" t="str">
        <f t="shared" ca="1" si="11"/>
        <v/>
      </c>
      <c r="AB18" s="14" t="str">
        <f t="shared" ca="1" si="11"/>
        <v/>
      </c>
      <c r="AC18" s="14" t="str">
        <f t="shared" ref="AC18:AL19" ca="1" si="12">IF(AND($C18="Goal",AC$7&gt;=$F18,AC$7&lt;=$F18+$G18-1),2,IF(AND($C18="Milestone",AC$7&gt;=$F18,AC$7&lt;=$F18+$G18-1),1,""))</f>
        <v/>
      </c>
      <c r="AD18" s="14" t="str">
        <f t="shared" ca="1" si="12"/>
        <v/>
      </c>
      <c r="AE18" s="14" t="str">
        <f t="shared" ca="1" si="12"/>
        <v/>
      </c>
      <c r="AF18" s="14" t="str">
        <f t="shared" ca="1" si="12"/>
        <v/>
      </c>
      <c r="AG18" s="14" t="str">
        <f t="shared" ca="1" si="12"/>
        <v/>
      </c>
      <c r="AH18" s="14" t="str">
        <f t="shared" ca="1" si="12"/>
        <v/>
      </c>
      <c r="AI18" s="14" t="str">
        <f t="shared" ca="1" si="12"/>
        <v/>
      </c>
      <c r="AJ18" s="14" t="str">
        <f t="shared" ca="1" si="12"/>
        <v/>
      </c>
      <c r="AK18" s="14" t="str">
        <f t="shared" ca="1" si="12"/>
        <v/>
      </c>
      <c r="AL18" s="14" t="str">
        <f t="shared" ca="1" si="12"/>
        <v/>
      </c>
      <c r="AM18" s="14" t="str">
        <f t="shared" ref="AM18:AV19" ca="1" si="13">IF(AND($C18="Goal",AM$7&gt;=$F18,AM$7&lt;=$F18+$G18-1),2,IF(AND($C18="Milestone",AM$7&gt;=$F18,AM$7&lt;=$F18+$G18-1),1,""))</f>
        <v/>
      </c>
      <c r="AN18" s="14" t="str">
        <f t="shared" ca="1" si="13"/>
        <v/>
      </c>
      <c r="AO18" s="14" t="str">
        <f t="shared" ca="1" si="13"/>
        <v/>
      </c>
      <c r="AP18" s="14" t="str">
        <f t="shared" ca="1" si="13"/>
        <v/>
      </c>
      <c r="AQ18" s="14" t="str">
        <f t="shared" ca="1" si="13"/>
        <v/>
      </c>
      <c r="AR18" s="14" t="str">
        <f t="shared" ca="1" si="13"/>
        <v/>
      </c>
      <c r="AS18" s="14" t="str">
        <f t="shared" ca="1" si="13"/>
        <v/>
      </c>
      <c r="AT18" s="14" t="str">
        <f t="shared" ca="1" si="13"/>
        <v/>
      </c>
      <c r="AU18" s="14" t="str">
        <f t="shared" ca="1" si="13"/>
        <v/>
      </c>
      <c r="AV18" s="14" t="str">
        <f t="shared" ca="1" si="13"/>
        <v/>
      </c>
      <c r="AW18" s="14" t="str">
        <f t="shared" ref="AW18:BF19" ca="1" si="14">IF(AND($C18="Goal",AW$7&gt;=$F18,AW$7&lt;=$F18+$G18-1),2,IF(AND($C18="Milestone",AW$7&gt;=$F18,AW$7&lt;=$F18+$G18-1),1,""))</f>
        <v/>
      </c>
      <c r="AX18" s="14" t="str">
        <f t="shared" ca="1" si="14"/>
        <v/>
      </c>
      <c r="AY18" s="14" t="str">
        <f t="shared" ca="1" si="14"/>
        <v/>
      </c>
      <c r="AZ18" s="14" t="str">
        <f t="shared" ca="1" si="14"/>
        <v/>
      </c>
      <c r="BA18" s="14" t="str">
        <f t="shared" ca="1" si="14"/>
        <v/>
      </c>
      <c r="BB18" s="14" t="str">
        <f t="shared" ca="1" si="14"/>
        <v/>
      </c>
      <c r="BC18" s="14" t="str">
        <f t="shared" ca="1" si="14"/>
        <v/>
      </c>
      <c r="BD18" s="14" t="str">
        <f t="shared" ca="1" si="14"/>
        <v/>
      </c>
      <c r="BE18" s="14" t="str">
        <f t="shared" ca="1" si="14"/>
        <v/>
      </c>
      <c r="BF18" s="14" t="str">
        <f t="shared" ca="1" si="14"/>
        <v/>
      </c>
      <c r="BG18" s="14" t="str">
        <f t="shared" ref="BG18:BL19" ca="1" si="15">IF(AND($C18="Goal",BG$7&gt;=$F18,BG$7&lt;=$F18+$G18-1),2,IF(AND($C18="Milestone",BG$7&gt;=$F18,BG$7&lt;=$F18+$G18-1),1,""))</f>
        <v/>
      </c>
      <c r="BH18" s="14" t="str">
        <f t="shared" ca="1" si="15"/>
        <v/>
      </c>
      <c r="BI18" s="14" t="str">
        <f t="shared" ca="1" si="15"/>
        <v/>
      </c>
      <c r="BJ18" s="14" t="str">
        <f t="shared" ca="1" si="15"/>
        <v/>
      </c>
      <c r="BK18" s="14" t="str">
        <f t="shared" ca="1" si="15"/>
        <v/>
      </c>
      <c r="BL18" s="14" t="str">
        <f t="shared" ca="1" si="15"/>
        <v/>
      </c>
    </row>
    <row r="19" spans="1:64" s="1" customFormat="1" ht="40" customHeight="1" x14ac:dyDescent="0.2">
      <c r="A19" s="6"/>
      <c r="B19" s="60" t="s">
        <v>44</v>
      </c>
      <c r="C19" s="17" t="s">
        <v>10</v>
      </c>
      <c r="D19" s="17" t="s">
        <v>50</v>
      </c>
      <c r="E19" s="18">
        <v>0</v>
      </c>
      <c r="F19" s="19">
        <f>DATE(2026, 2, 19)</f>
        <v>46072</v>
      </c>
      <c r="G19" s="20">
        <v>8</v>
      </c>
      <c r="H19" s="17"/>
      <c r="I19" s="14" t="str">
        <f t="shared" ca="1" si="10"/>
        <v/>
      </c>
      <c r="J19" s="14" t="str">
        <f t="shared" ca="1" si="10"/>
        <v/>
      </c>
      <c r="K19" s="14" t="str">
        <f t="shared" ca="1" si="10"/>
        <v/>
      </c>
      <c r="L19" s="14" t="str">
        <f t="shared" ca="1" si="10"/>
        <v/>
      </c>
      <c r="M19" s="14" t="str">
        <f t="shared" ca="1" si="10"/>
        <v/>
      </c>
      <c r="N19" s="14" t="str">
        <f t="shared" ca="1" si="10"/>
        <v/>
      </c>
      <c r="O19" s="14" t="str">
        <f t="shared" ca="1" si="10"/>
        <v/>
      </c>
      <c r="P19" s="14" t="str">
        <f t="shared" ca="1" si="10"/>
        <v/>
      </c>
      <c r="Q19" s="14" t="str">
        <f t="shared" ca="1" si="10"/>
        <v/>
      </c>
      <c r="R19" s="14" t="str">
        <f t="shared" ca="1" si="10"/>
        <v/>
      </c>
      <c r="S19" s="14" t="str">
        <f t="shared" ca="1" si="11"/>
        <v/>
      </c>
      <c r="T19" s="14" t="str">
        <f t="shared" ca="1" si="11"/>
        <v/>
      </c>
      <c r="U19" s="14" t="str">
        <f t="shared" ca="1" si="11"/>
        <v/>
      </c>
      <c r="V19" s="14" t="str">
        <f t="shared" ca="1" si="11"/>
        <v/>
      </c>
      <c r="W19" s="14" t="str">
        <f t="shared" ca="1" si="11"/>
        <v/>
      </c>
      <c r="X19" s="14" t="str">
        <f t="shared" ca="1" si="11"/>
        <v/>
      </c>
      <c r="Y19" s="14" t="str">
        <f t="shared" ca="1" si="11"/>
        <v/>
      </c>
      <c r="Z19" s="14" t="str">
        <f t="shared" ca="1" si="11"/>
        <v/>
      </c>
      <c r="AA19" s="14" t="str">
        <f t="shared" ca="1" si="11"/>
        <v/>
      </c>
      <c r="AB19" s="14" t="str">
        <f t="shared" ca="1" si="11"/>
        <v/>
      </c>
      <c r="AC19" s="14" t="str">
        <f t="shared" ca="1" si="12"/>
        <v/>
      </c>
      <c r="AD19" s="14" t="str">
        <f t="shared" ca="1" si="12"/>
        <v/>
      </c>
      <c r="AE19" s="14" t="str">
        <f t="shared" ca="1" si="12"/>
        <v/>
      </c>
      <c r="AF19" s="14" t="str">
        <f t="shared" ca="1" si="12"/>
        <v/>
      </c>
      <c r="AG19" s="14" t="str">
        <f t="shared" ca="1" si="12"/>
        <v/>
      </c>
      <c r="AH19" s="14" t="str">
        <f t="shared" ca="1" si="12"/>
        <v/>
      </c>
      <c r="AI19" s="14" t="str">
        <f t="shared" ca="1" si="12"/>
        <v/>
      </c>
      <c r="AJ19" s="14" t="str">
        <f t="shared" ca="1" si="12"/>
        <v/>
      </c>
      <c r="AK19" s="14" t="str">
        <f t="shared" ca="1" si="12"/>
        <v/>
      </c>
      <c r="AL19" s="14" t="str">
        <f t="shared" ca="1" si="12"/>
        <v/>
      </c>
      <c r="AM19" s="14" t="str">
        <f t="shared" ca="1" si="13"/>
        <v/>
      </c>
      <c r="AN19" s="14" t="str">
        <f t="shared" ca="1" si="13"/>
        <v/>
      </c>
      <c r="AO19" s="14" t="str">
        <f t="shared" ca="1" si="13"/>
        <v/>
      </c>
      <c r="AP19" s="14" t="str">
        <f t="shared" ca="1" si="13"/>
        <v/>
      </c>
      <c r="AQ19" s="14" t="str">
        <f t="shared" ca="1" si="13"/>
        <v/>
      </c>
      <c r="AR19" s="14" t="str">
        <f t="shared" ca="1" si="13"/>
        <v/>
      </c>
      <c r="AS19" s="14" t="str">
        <f t="shared" ca="1" si="13"/>
        <v/>
      </c>
      <c r="AT19" s="14" t="str">
        <f t="shared" ca="1" si="13"/>
        <v/>
      </c>
      <c r="AU19" s="14" t="str">
        <f t="shared" ca="1" si="13"/>
        <v/>
      </c>
      <c r="AV19" s="14" t="str">
        <f t="shared" ca="1" si="13"/>
        <v/>
      </c>
      <c r="AW19" s="14" t="str">
        <f t="shared" ca="1" si="14"/>
        <v/>
      </c>
      <c r="AX19" s="14" t="str">
        <f t="shared" ca="1" si="14"/>
        <v/>
      </c>
      <c r="AY19" s="14" t="str">
        <f t="shared" ca="1" si="14"/>
        <v/>
      </c>
      <c r="AZ19" s="14" t="str">
        <f t="shared" ca="1" si="14"/>
        <v/>
      </c>
      <c r="BA19" s="14" t="str">
        <f t="shared" ca="1" si="14"/>
        <v/>
      </c>
      <c r="BB19" s="14" t="str">
        <f t="shared" ca="1" si="14"/>
        <v/>
      </c>
      <c r="BC19" s="14" t="str">
        <f t="shared" ca="1" si="14"/>
        <v/>
      </c>
      <c r="BD19" s="14" t="str">
        <f t="shared" ca="1" si="14"/>
        <v/>
      </c>
      <c r="BE19" s="14" t="str">
        <f t="shared" ca="1" si="14"/>
        <v/>
      </c>
      <c r="BF19" s="14" t="str">
        <f t="shared" ca="1" si="14"/>
        <v/>
      </c>
      <c r="BG19" s="14" t="str">
        <f t="shared" ca="1" si="15"/>
        <v/>
      </c>
      <c r="BH19" s="14" t="str">
        <f t="shared" ca="1" si="15"/>
        <v/>
      </c>
      <c r="BI19" s="14" t="str">
        <f t="shared" ca="1" si="15"/>
        <v/>
      </c>
      <c r="BJ19" s="14" t="str">
        <f t="shared" ca="1" si="15"/>
        <v/>
      </c>
      <c r="BK19" s="14" t="str">
        <f t="shared" ca="1" si="15"/>
        <v/>
      </c>
      <c r="BL19" s="14" t="str">
        <f t="shared" ca="1" si="15"/>
        <v/>
      </c>
    </row>
    <row r="20" spans="1:64" s="1" customFormat="1" ht="40" customHeight="1" x14ac:dyDescent="0.2">
      <c r="A20" s="6"/>
      <c r="B20" s="60" t="s">
        <v>45</v>
      </c>
      <c r="C20" s="17" t="s">
        <v>10</v>
      </c>
      <c r="D20" s="17" t="s">
        <v>50</v>
      </c>
      <c r="E20" s="18">
        <v>0</v>
      </c>
      <c r="F20" s="19">
        <f>DATE(2026, 2, 19)</f>
        <v>46072</v>
      </c>
      <c r="G20" s="20">
        <v>8</v>
      </c>
      <c r="H20" s="17"/>
      <c r="I20" s="14" t="str">
        <f t="shared" ref="I20:X24" ca="1" si="16">IF(AND($C20="Goal",I$7&gt;=$F20,I$7&lt;=$F20+$G20-1),2,IF(AND($C20="Milestone",I$7&gt;=$F20,I$7&lt;=$F20+$G20-1),1,""))</f>
        <v/>
      </c>
      <c r="J20" s="14" t="str">
        <f t="shared" ca="1" si="16"/>
        <v/>
      </c>
      <c r="K20" s="14" t="str">
        <f t="shared" ca="1" si="16"/>
        <v/>
      </c>
      <c r="L20" s="14" t="str">
        <f t="shared" ca="1" si="16"/>
        <v/>
      </c>
      <c r="M20" s="14" t="str">
        <f t="shared" ca="1" si="16"/>
        <v/>
      </c>
      <c r="N20" s="14" t="str">
        <f t="shared" ca="1" si="16"/>
        <v/>
      </c>
      <c r="O20" s="14" t="str">
        <f t="shared" ca="1" si="16"/>
        <v/>
      </c>
      <c r="P20" s="14" t="str">
        <f t="shared" ca="1" si="16"/>
        <v/>
      </c>
      <c r="Q20" s="14" t="str">
        <f t="shared" ca="1" si="16"/>
        <v/>
      </c>
      <c r="R20" s="14" t="str">
        <f t="shared" ca="1" si="16"/>
        <v/>
      </c>
      <c r="S20" s="14" t="str">
        <f t="shared" ca="1" si="16"/>
        <v/>
      </c>
      <c r="T20" s="14" t="str">
        <f t="shared" ca="1" si="16"/>
        <v/>
      </c>
      <c r="U20" s="14" t="str">
        <f t="shared" ca="1" si="16"/>
        <v/>
      </c>
      <c r="V20" s="14" t="str">
        <f t="shared" ca="1" si="16"/>
        <v/>
      </c>
      <c r="W20" s="14" t="str">
        <f t="shared" ca="1" si="16"/>
        <v/>
      </c>
      <c r="X20" s="14" t="str">
        <f t="shared" ca="1" si="16"/>
        <v/>
      </c>
      <c r="Y20" s="14" t="str">
        <f t="shared" ref="Y20:AN24" ca="1" si="17">IF(AND($C20="Goal",Y$7&gt;=$F20,Y$7&lt;=$F20+$G20-1),2,IF(AND($C20="Milestone",Y$7&gt;=$F20,Y$7&lt;=$F20+$G20-1),1,""))</f>
        <v/>
      </c>
      <c r="Z20" s="14" t="str">
        <f t="shared" ca="1" si="17"/>
        <v/>
      </c>
      <c r="AA20" s="14" t="str">
        <f t="shared" ca="1" si="17"/>
        <v/>
      </c>
      <c r="AB20" s="14" t="str">
        <f t="shared" ca="1" si="17"/>
        <v/>
      </c>
      <c r="AC20" s="14" t="str">
        <f t="shared" ca="1" si="17"/>
        <v/>
      </c>
      <c r="AD20" s="14" t="str">
        <f t="shared" ca="1" si="17"/>
        <v/>
      </c>
      <c r="AE20" s="14" t="str">
        <f t="shared" ca="1" si="17"/>
        <v/>
      </c>
      <c r="AF20" s="14" t="str">
        <f t="shared" ca="1" si="17"/>
        <v/>
      </c>
      <c r="AG20" s="14" t="str">
        <f t="shared" ca="1" si="17"/>
        <v/>
      </c>
      <c r="AH20" s="14" t="str">
        <f t="shared" ca="1" si="17"/>
        <v/>
      </c>
      <c r="AI20" s="14" t="str">
        <f t="shared" ca="1" si="17"/>
        <v/>
      </c>
      <c r="AJ20" s="14" t="str">
        <f t="shared" ca="1" si="17"/>
        <v/>
      </c>
      <c r="AK20" s="14" t="str">
        <f t="shared" ca="1" si="17"/>
        <v/>
      </c>
      <c r="AL20" s="14" t="str">
        <f t="shared" ca="1" si="17"/>
        <v/>
      </c>
      <c r="AM20" s="14" t="str">
        <f t="shared" ca="1" si="17"/>
        <v/>
      </c>
      <c r="AN20" s="14" t="str">
        <f t="shared" ca="1" si="17"/>
        <v/>
      </c>
      <c r="AO20" s="14" t="str">
        <f t="shared" ref="AO20:BD24" ca="1" si="18">IF(AND($C20="Goal",AO$7&gt;=$F20,AO$7&lt;=$F20+$G20-1),2,IF(AND($C20="Milestone",AO$7&gt;=$F20,AO$7&lt;=$F20+$G20-1),1,""))</f>
        <v/>
      </c>
      <c r="AP20" s="14" t="str">
        <f t="shared" ca="1" si="18"/>
        <v/>
      </c>
      <c r="AQ20" s="14" t="str">
        <f t="shared" ca="1" si="18"/>
        <v/>
      </c>
      <c r="AR20" s="14" t="str">
        <f t="shared" ca="1" si="18"/>
        <v/>
      </c>
      <c r="AS20" s="14" t="str">
        <f t="shared" ca="1" si="18"/>
        <v/>
      </c>
      <c r="AT20" s="14" t="str">
        <f t="shared" ca="1" si="18"/>
        <v/>
      </c>
      <c r="AU20" s="14" t="str">
        <f t="shared" ca="1" si="18"/>
        <v/>
      </c>
      <c r="AV20" s="14" t="str">
        <f t="shared" ca="1" si="18"/>
        <v/>
      </c>
      <c r="AW20" s="14" t="str">
        <f t="shared" ca="1" si="18"/>
        <v/>
      </c>
      <c r="AX20" s="14" t="str">
        <f t="shared" ca="1" si="18"/>
        <v/>
      </c>
      <c r="AY20" s="14" t="str">
        <f t="shared" ca="1" si="18"/>
        <v/>
      </c>
      <c r="AZ20" s="14" t="str">
        <f t="shared" ca="1" si="18"/>
        <v/>
      </c>
      <c r="BA20" s="14" t="str">
        <f t="shared" ca="1" si="18"/>
        <v/>
      </c>
      <c r="BB20" s="14" t="str">
        <f t="shared" ca="1" si="18"/>
        <v/>
      </c>
      <c r="BC20" s="14" t="str">
        <f t="shared" ca="1" si="18"/>
        <v/>
      </c>
      <c r="BD20" s="14" t="str">
        <f t="shared" ca="1" si="18"/>
        <v/>
      </c>
      <c r="BE20" s="14" t="str">
        <f t="shared" ref="BE20:BL24" ca="1" si="19">IF(AND($C20="Goal",BE$7&gt;=$F20,BE$7&lt;=$F20+$G20-1),2,IF(AND($C20="Milestone",BE$7&gt;=$F20,BE$7&lt;=$F20+$G20-1),1,""))</f>
        <v/>
      </c>
      <c r="BF20" s="14" t="str">
        <f t="shared" ca="1" si="19"/>
        <v/>
      </c>
      <c r="BG20" s="14" t="str">
        <f t="shared" ca="1" si="19"/>
        <v/>
      </c>
      <c r="BH20" s="14" t="str">
        <f t="shared" ca="1" si="19"/>
        <v/>
      </c>
      <c r="BI20" s="14" t="str">
        <f t="shared" ca="1" si="19"/>
        <v/>
      </c>
      <c r="BJ20" s="14" t="str">
        <f t="shared" ca="1" si="19"/>
        <v/>
      </c>
      <c r="BK20" s="14" t="str">
        <f t="shared" ca="1" si="19"/>
        <v/>
      </c>
      <c r="BL20" s="14" t="str">
        <f t="shared" ca="1" si="19"/>
        <v/>
      </c>
    </row>
    <row r="21" spans="1:64" s="1" customFormat="1" ht="40" customHeight="1" x14ac:dyDescent="0.2">
      <c r="A21" s="6"/>
      <c r="B21" s="60" t="s">
        <v>46</v>
      </c>
      <c r="C21" s="17" t="s">
        <v>10</v>
      </c>
      <c r="D21" s="17" t="s">
        <v>50</v>
      </c>
      <c r="E21" s="18">
        <v>0</v>
      </c>
      <c r="F21" s="19">
        <f>DATE(2026, 2, 19)</f>
        <v>46072</v>
      </c>
      <c r="G21" s="20">
        <v>8</v>
      </c>
      <c r="H21" s="17"/>
      <c r="I21" s="14" t="str">
        <f t="shared" ca="1" si="16"/>
        <v/>
      </c>
      <c r="J21" s="14" t="str">
        <f t="shared" ca="1" si="16"/>
        <v/>
      </c>
      <c r="K21" s="14" t="str">
        <f t="shared" ca="1" si="16"/>
        <v/>
      </c>
      <c r="L21" s="14" t="str">
        <f t="shared" ca="1" si="16"/>
        <v/>
      </c>
      <c r="M21" s="14" t="str">
        <f t="shared" ca="1" si="16"/>
        <v/>
      </c>
      <c r="N21" s="14" t="str">
        <f t="shared" ca="1" si="16"/>
        <v/>
      </c>
      <c r="O21" s="14" t="str">
        <f t="shared" ca="1" si="16"/>
        <v/>
      </c>
      <c r="P21" s="14" t="str">
        <f t="shared" ca="1" si="16"/>
        <v/>
      </c>
      <c r="Q21" s="14" t="str">
        <f t="shared" ca="1" si="16"/>
        <v/>
      </c>
      <c r="R21" s="14" t="str">
        <f t="shared" ca="1" si="16"/>
        <v/>
      </c>
      <c r="S21" s="14" t="str">
        <f t="shared" ca="1" si="16"/>
        <v/>
      </c>
      <c r="T21" s="14" t="str">
        <f t="shared" ca="1" si="16"/>
        <v/>
      </c>
      <c r="U21" s="14" t="str">
        <f t="shared" ca="1" si="16"/>
        <v/>
      </c>
      <c r="V21" s="14" t="str">
        <f t="shared" ca="1" si="16"/>
        <v/>
      </c>
      <c r="W21" s="14" t="str">
        <f t="shared" ca="1" si="16"/>
        <v/>
      </c>
      <c r="X21" s="14" t="str">
        <f t="shared" ca="1" si="16"/>
        <v/>
      </c>
      <c r="Y21" s="14" t="str">
        <f t="shared" ca="1" si="17"/>
        <v/>
      </c>
      <c r="Z21" s="14" t="str">
        <f t="shared" ca="1" si="17"/>
        <v/>
      </c>
      <c r="AA21" s="14" t="str">
        <f t="shared" ca="1" si="17"/>
        <v/>
      </c>
      <c r="AB21" s="14" t="str">
        <f t="shared" ca="1" si="17"/>
        <v/>
      </c>
      <c r="AC21" s="14" t="str">
        <f t="shared" ca="1" si="17"/>
        <v/>
      </c>
      <c r="AD21" s="14" t="str">
        <f t="shared" ca="1" si="17"/>
        <v/>
      </c>
      <c r="AE21" s="14" t="str">
        <f t="shared" ca="1" si="17"/>
        <v/>
      </c>
      <c r="AF21" s="14" t="str">
        <f t="shared" ca="1" si="17"/>
        <v/>
      </c>
      <c r="AG21" s="14" t="str">
        <f t="shared" ca="1" si="17"/>
        <v/>
      </c>
      <c r="AH21" s="14" t="str">
        <f t="shared" ca="1" si="17"/>
        <v/>
      </c>
      <c r="AI21" s="14" t="str">
        <f t="shared" ca="1" si="17"/>
        <v/>
      </c>
      <c r="AJ21" s="14" t="str">
        <f t="shared" ca="1" si="17"/>
        <v/>
      </c>
      <c r="AK21" s="14" t="str">
        <f t="shared" ca="1" si="17"/>
        <v/>
      </c>
      <c r="AL21" s="14" t="str">
        <f t="shared" ca="1" si="17"/>
        <v/>
      </c>
      <c r="AM21" s="14" t="str">
        <f t="shared" ca="1" si="17"/>
        <v/>
      </c>
      <c r="AN21" s="14" t="str">
        <f t="shared" ca="1" si="17"/>
        <v/>
      </c>
      <c r="AO21" s="14" t="str">
        <f t="shared" ca="1" si="18"/>
        <v/>
      </c>
      <c r="AP21" s="14" t="str">
        <f t="shared" ca="1" si="18"/>
        <v/>
      </c>
      <c r="AQ21" s="14" t="str">
        <f t="shared" ca="1" si="18"/>
        <v/>
      </c>
      <c r="AR21" s="14" t="str">
        <f t="shared" ca="1" si="18"/>
        <v/>
      </c>
      <c r="AS21" s="14" t="str">
        <f t="shared" ca="1" si="18"/>
        <v/>
      </c>
      <c r="AT21" s="14" t="str">
        <f t="shared" ca="1" si="18"/>
        <v/>
      </c>
      <c r="AU21" s="14" t="str">
        <f t="shared" ca="1" si="18"/>
        <v/>
      </c>
      <c r="AV21" s="14" t="str">
        <f t="shared" ca="1" si="18"/>
        <v/>
      </c>
      <c r="AW21" s="14" t="str">
        <f t="shared" ca="1" si="18"/>
        <v/>
      </c>
      <c r="AX21" s="14" t="str">
        <f t="shared" ca="1" si="18"/>
        <v/>
      </c>
      <c r="AY21" s="14" t="str">
        <f t="shared" ca="1" si="18"/>
        <v/>
      </c>
      <c r="AZ21" s="14" t="str">
        <f t="shared" ca="1" si="18"/>
        <v/>
      </c>
      <c r="BA21" s="14" t="str">
        <f t="shared" ca="1" si="18"/>
        <v/>
      </c>
      <c r="BB21" s="14" t="str">
        <f t="shared" ca="1" si="18"/>
        <v/>
      </c>
      <c r="BC21" s="14" t="str">
        <f t="shared" ca="1" si="18"/>
        <v/>
      </c>
      <c r="BD21" s="14" t="str">
        <f t="shared" ca="1" si="18"/>
        <v/>
      </c>
      <c r="BE21" s="14" t="str">
        <f t="shared" ca="1" si="19"/>
        <v/>
      </c>
      <c r="BF21" s="14" t="str">
        <f t="shared" ca="1" si="19"/>
        <v/>
      </c>
      <c r="BG21" s="14" t="str">
        <f t="shared" ca="1" si="19"/>
        <v/>
      </c>
      <c r="BH21" s="14" t="str">
        <f t="shared" ca="1" si="19"/>
        <v/>
      </c>
      <c r="BI21" s="14" t="str">
        <f t="shared" ca="1" si="19"/>
        <v/>
      </c>
      <c r="BJ21" s="14" t="str">
        <f t="shared" ca="1" si="19"/>
        <v/>
      </c>
      <c r="BK21" s="14" t="str">
        <f t="shared" ca="1" si="19"/>
        <v/>
      </c>
      <c r="BL21" s="14" t="str">
        <f t="shared" ca="1" si="19"/>
        <v/>
      </c>
    </row>
    <row r="22" spans="1:64" s="1" customFormat="1" ht="40" customHeight="1" x14ac:dyDescent="0.2">
      <c r="A22" s="6"/>
      <c r="B22" s="60" t="s">
        <v>47</v>
      </c>
      <c r="C22" s="17" t="s">
        <v>10</v>
      </c>
      <c r="D22" s="17" t="s">
        <v>50</v>
      </c>
      <c r="E22" s="18">
        <v>0</v>
      </c>
      <c r="F22" s="19">
        <f>DATE(2026,2,24)</f>
        <v>46077</v>
      </c>
      <c r="G22" s="20">
        <v>7</v>
      </c>
      <c r="H22" s="17"/>
      <c r="I22" s="14" t="str">
        <f t="shared" ca="1" si="16"/>
        <v/>
      </c>
      <c r="J22" s="14" t="str">
        <f t="shared" ca="1" si="16"/>
        <v/>
      </c>
      <c r="K22" s="14" t="str">
        <f t="shared" ca="1" si="16"/>
        <v/>
      </c>
      <c r="L22" s="14" t="str">
        <f t="shared" ca="1" si="16"/>
        <v/>
      </c>
      <c r="M22" s="14" t="str">
        <f t="shared" ca="1" si="16"/>
        <v/>
      </c>
      <c r="N22" s="14" t="str">
        <f t="shared" ca="1" si="16"/>
        <v/>
      </c>
      <c r="O22" s="14" t="str">
        <f t="shared" ca="1" si="16"/>
        <v/>
      </c>
      <c r="P22" s="14" t="str">
        <f t="shared" ca="1" si="16"/>
        <v/>
      </c>
      <c r="Q22" s="14" t="str">
        <f t="shared" ca="1" si="16"/>
        <v/>
      </c>
      <c r="R22" s="14" t="str">
        <f t="shared" ca="1" si="16"/>
        <v/>
      </c>
      <c r="S22" s="14" t="str">
        <f t="shared" ca="1" si="16"/>
        <v/>
      </c>
      <c r="T22" s="14" t="str">
        <f t="shared" ca="1" si="16"/>
        <v/>
      </c>
      <c r="U22" s="14" t="str">
        <f t="shared" ca="1" si="16"/>
        <v/>
      </c>
      <c r="V22" s="14" t="str">
        <f t="shared" ca="1" si="16"/>
        <v/>
      </c>
      <c r="W22" s="14" t="str">
        <f t="shared" ca="1" si="16"/>
        <v/>
      </c>
      <c r="X22" s="14" t="str">
        <f t="shared" ca="1" si="16"/>
        <v/>
      </c>
      <c r="Y22" s="14" t="str">
        <f t="shared" ca="1" si="17"/>
        <v/>
      </c>
      <c r="Z22" s="14" t="str">
        <f t="shared" ca="1" si="17"/>
        <v/>
      </c>
      <c r="AA22" s="14" t="str">
        <f t="shared" ca="1" si="17"/>
        <v/>
      </c>
      <c r="AB22" s="14" t="str">
        <f t="shared" ca="1" si="17"/>
        <v/>
      </c>
      <c r="AC22" s="14" t="str">
        <f t="shared" ca="1" si="17"/>
        <v/>
      </c>
      <c r="AD22" s="14" t="str">
        <f t="shared" ca="1" si="17"/>
        <v/>
      </c>
      <c r="AE22" s="14" t="str">
        <f t="shared" ca="1" si="17"/>
        <v/>
      </c>
      <c r="AF22" s="14" t="str">
        <f t="shared" ca="1" si="17"/>
        <v/>
      </c>
      <c r="AG22" s="14" t="str">
        <f t="shared" ca="1" si="17"/>
        <v/>
      </c>
      <c r="AH22" s="14" t="str">
        <f t="shared" ca="1" si="17"/>
        <v/>
      </c>
      <c r="AI22" s="14" t="str">
        <f t="shared" ca="1" si="17"/>
        <v/>
      </c>
      <c r="AJ22" s="14" t="str">
        <f t="shared" ca="1" si="17"/>
        <v/>
      </c>
      <c r="AK22" s="14" t="str">
        <f t="shared" ca="1" si="17"/>
        <v/>
      </c>
      <c r="AL22" s="14" t="str">
        <f t="shared" ca="1" si="17"/>
        <v/>
      </c>
      <c r="AM22" s="14" t="str">
        <f t="shared" ca="1" si="17"/>
        <v/>
      </c>
      <c r="AN22" s="14" t="str">
        <f t="shared" ca="1" si="17"/>
        <v/>
      </c>
      <c r="AO22" s="14" t="str">
        <f t="shared" ca="1" si="18"/>
        <v/>
      </c>
      <c r="AP22" s="14" t="str">
        <f t="shared" ca="1" si="18"/>
        <v/>
      </c>
      <c r="AQ22" s="14" t="str">
        <f t="shared" ca="1" si="18"/>
        <v/>
      </c>
      <c r="AR22" s="14" t="str">
        <f t="shared" ca="1" si="18"/>
        <v/>
      </c>
      <c r="AS22" s="14" t="str">
        <f t="shared" ca="1" si="18"/>
        <v/>
      </c>
      <c r="AT22" s="14" t="str">
        <f t="shared" ca="1" si="18"/>
        <v/>
      </c>
      <c r="AU22" s="14" t="str">
        <f t="shared" ca="1" si="18"/>
        <v/>
      </c>
      <c r="AV22" s="14" t="str">
        <f t="shared" ca="1" si="18"/>
        <v/>
      </c>
      <c r="AW22" s="14" t="str">
        <f t="shared" ca="1" si="18"/>
        <v/>
      </c>
      <c r="AX22" s="14" t="str">
        <f t="shared" ca="1" si="18"/>
        <v/>
      </c>
      <c r="AY22" s="14" t="str">
        <f t="shared" ca="1" si="18"/>
        <v/>
      </c>
      <c r="AZ22" s="14" t="str">
        <f t="shared" ca="1" si="18"/>
        <v/>
      </c>
      <c r="BA22" s="14" t="str">
        <f t="shared" ca="1" si="18"/>
        <v/>
      </c>
      <c r="BB22" s="14" t="str">
        <f t="shared" ca="1" si="18"/>
        <v/>
      </c>
      <c r="BC22" s="14" t="str">
        <f t="shared" ca="1" si="18"/>
        <v/>
      </c>
      <c r="BD22" s="14" t="str">
        <f t="shared" ca="1" si="18"/>
        <v/>
      </c>
      <c r="BE22" s="14" t="str">
        <f t="shared" ca="1" si="19"/>
        <v/>
      </c>
      <c r="BF22" s="14" t="str">
        <f t="shared" ca="1" si="19"/>
        <v/>
      </c>
      <c r="BG22" s="14" t="str">
        <f t="shared" ca="1" si="19"/>
        <v/>
      </c>
      <c r="BH22" s="14" t="str">
        <f t="shared" ca="1" si="19"/>
        <v/>
      </c>
      <c r="BI22" s="14" t="str">
        <f t="shared" ca="1" si="19"/>
        <v/>
      </c>
      <c r="BJ22" s="14" t="str">
        <f t="shared" ca="1" si="19"/>
        <v/>
      </c>
      <c r="BK22" s="14" t="str">
        <f t="shared" ca="1" si="19"/>
        <v/>
      </c>
      <c r="BL22" s="14" t="str">
        <f t="shared" ca="1" si="19"/>
        <v/>
      </c>
    </row>
    <row r="23" spans="1:64" s="1" customFormat="1" ht="40" customHeight="1" x14ac:dyDescent="0.2">
      <c r="A23" s="6"/>
      <c r="B23" s="60" t="s">
        <v>49</v>
      </c>
      <c r="C23" s="17" t="s">
        <v>10</v>
      </c>
      <c r="D23" s="17" t="s">
        <v>50</v>
      </c>
      <c r="E23" s="18">
        <v>0</v>
      </c>
      <c r="F23" s="19">
        <f>DATE(2026,2,24)</f>
        <v>46077</v>
      </c>
      <c r="G23" s="20">
        <v>7</v>
      </c>
      <c r="H23" s="17"/>
      <c r="I23" s="14" t="str">
        <f t="shared" ca="1" si="16"/>
        <v/>
      </c>
      <c r="J23" s="14" t="str">
        <f t="shared" ca="1" si="16"/>
        <v/>
      </c>
      <c r="K23" s="14" t="str">
        <f t="shared" ca="1" si="16"/>
        <v/>
      </c>
      <c r="L23" s="14" t="str">
        <f t="shared" ca="1" si="16"/>
        <v/>
      </c>
      <c r="M23" s="14" t="str">
        <f t="shared" ca="1" si="16"/>
        <v/>
      </c>
      <c r="N23" s="14" t="str">
        <f t="shared" ca="1" si="16"/>
        <v/>
      </c>
      <c r="O23" s="14" t="str">
        <f t="shared" ca="1" si="16"/>
        <v/>
      </c>
      <c r="P23" s="14" t="str">
        <f t="shared" ca="1" si="16"/>
        <v/>
      </c>
      <c r="Q23" s="14" t="str">
        <f t="shared" ca="1" si="16"/>
        <v/>
      </c>
      <c r="R23" s="14" t="str">
        <f t="shared" ca="1" si="16"/>
        <v/>
      </c>
      <c r="S23" s="14" t="str">
        <f t="shared" ca="1" si="16"/>
        <v/>
      </c>
      <c r="T23" s="14" t="str">
        <f t="shared" ca="1" si="16"/>
        <v/>
      </c>
      <c r="U23" s="14" t="str">
        <f t="shared" ca="1" si="16"/>
        <v/>
      </c>
      <c r="V23" s="14" t="str">
        <f t="shared" ca="1" si="16"/>
        <v/>
      </c>
      <c r="W23" s="14" t="str">
        <f t="shared" ca="1" si="16"/>
        <v/>
      </c>
      <c r="X23" s="14" t="str">
        <f t="shared" ca="1" si="16"/>
        <v/>
      </c>
      <c r="Y23" s="14" t="str">
        <f t="shared" ca="1" si="17"/>
        <v/>
      </c>
      <c r="Z23" s="14" t="str">
        <f t="shared" ca="1" si="17"/>
        <v/>
      </c>
      <c r="AA23" s="14" t="str">
        <f t="shared" ca="1" si="17"/>
        <v/>
      </c>
      <c r="AB23" s="14" t="str">
        <f t="shared" ca="1" si="17"/>
        <v/>
      </c>
      <c r="AC23" s="14" t="str">
        <f t="shared" ca="1" si="17"/>
        <v/>
      </c>
      <c r="AD23" s="14" t="str">
        <f t="shared" ca="1" si="17"/>
        <v/>
      </c>
      <c r="AE23" s="14" t="str">
        <f t="shared" ca="1" si="17"/>
        <v/>
      </c>
      <c r="AF23" s="14" t="str">
        <f t="shared" ca="1" si="17"/>
        <v/>
      </c>
      <c r="AG23" s="14" t="str">
        <f t="shared" ca="1" si="17"/>
        <v/>
      </c>
      <c r="AH23" s="14" t="str">
        <f t="shared" ca="1" si="17"/>
        <v/>
      </c>
      <c r="AI23" s="14" t="str">
        <f t="shared" ca="1" si="17"/>
        <v/>
      </c>
      <c r="AJ23" s="14" t="str">
        <f t="shared" ca="1" si="17"/>
        <v/>
      </c>
      <c r="AK23" s="14" t="str">
        <f t="shared" ca="1" si="17"/>
        <v/>
      </c>
      <c r="AL23" s="14" t="str">
        <f t="shared" ca="1" si="17"/>
        <v/>
      </c>
      <c r="AM23" s="14" t="str">
        <f t="shared" ca="1" si="17"/>
        <v/>
      </c>
      <c r="AN23" s="14" t="str">
        <f t="shared" ca="1" si="17"/>
        <v/>
      </c>
      <c r="AO23" s="14" t="str">
        <f t="shared" ca="1" si="18"/>
        <v/>
      </c>
      <c r="AP23" s="14" t="str">
        <f t="shared" ca="1" si="18"/>
        <v/>
      </c>
      <c r="AQ23" s="14" t="str">
        <f t="shared" ca="1" si="18"/>
        <v/>
      </c>
      <c r="AR23" s="14" t="str">
        <f t="shared" ca="1" si="18"/>
        <v/>
      </c>
      <c r="AS23" s="14" t="str">
        <f t="shared" ca="1" si="18"/>
        <v/>
      </c>
      <c r="AT23" s="14" t="str">
        <f t="shared" ca="1" si="18"/>
        <v/>
      </c>
      <c r="AU23" s="14" t="str">
        <f t="shared" ca="1" si="18"/>
        <v/>
      </c>
      <c r="AV23" s="14" t="str">
        <f t="shared" ca="1" si="18"/>
        <v/>
      </c>
      <c r="AW23" s="14" t="str">
        <f t="shared" ca="1" si="18"/>
        <v/>
      </c>
      <c r="AX23" s="14" t="str">
        <f t="shared" ca="1" si="18"/>
        <v/>
      </c>
      <c r="AY23" s="14" t="str">
        <f t="shared" ca="1" si="18"/>
        <v/>
      </c>
      <c r="AZ23" s="14" t="str">
        <f t="shared" ca="1" si="18"/>
        <v/>
      </c>
      <c r="BA23" s="14" t="str">
        <f t="shared" ca="1" si="18"/>
        <v/>
      </c>
      <c r="BB23" s="14" t="str">
        <f t="shared" ca="1" si="18"/>
        <v/>
      </c>
      <c r="BC23" s="14" t="str">
        <f t="shared" ca="1" si="18"/>
        <v/>
      </c>
      <c r="BD23" s="14" t="str">
        <f t="shared" ca="1" si="18"/>
        <v/>
      </c>
      <c r="BE23" s="14" t="str">
        <f t="shared" ca="1" si="19"/>
        <v/>
      </c>
      <c r="BF23" s="14" t="str">
        <f t="shared" ca="1" si="19"/>
        <v/>
      </c>
      <c r="BG23" s="14" t="str">
        <f t="shared" ca="1" si="19"/>
        <v/>
      </c>
      <c r="BH23" s="14" t="str">
        <f t="shared" ca="1" si="19"/>
        <v/>
      </c>
      <c r="BI23" s="14" t="str">
        <f t="shared" ca="1" si="19"/>
        <v/>
      </c>
      <c r="BJ23" s="14" t="str">
        <f t="shared" ca="1" si="19"/>
        <v/>
      </c>
      <c r="BK23" s="14" t="str">
        <f t="shared" ca="1" si="19"/>
        <v/>
      </c>
      <c r="BL23" s="14" t="str">
        <f t="shared" ca="1" si="19"/>
        <v/>
      </c>
    </row>
    <row r="24" spans="1:64" s="1" customFormat="1" ht="40" customHeight="1" x14ac:dyDescent="0.2">
      <c r="A24" s="6"/>
      <c r="B24" s="60" t="s">
        <v>48</v>
      </c>
      <c r="C24" s="17" t="s">
        <v>10</v>
      </c>
      <c r="D24" s="17" t="s">
        <v>50</v>
      </c>
      <c r="E24" s="18">
        <v>0</v>
      </c>
      <c r="F24" s="19">
        <f>DATE(2026,2,24)</f>
        <v>46077</v>
      </c>
      <c r="G24" s="20">
        <v>7</v>
      </c>
      <c r="H24" s="17"/>
      <c r="I24" s="14" t="str">
        <f t="shared" ca="1" si="16"/>
        <v/>
      </c>
      <c r="J24" s="14" t="str">
        <f t="shared" ca="1" si="16"/>
        <v/>
      </c>
      <c r="K24" s="14" t="str">
        <f t="shared" ca="1" si="16"/>
        <v/>
      </c>
      <c r="L24" s="14" t="str">
        <f t="shared" ca="1" si="16"/>
        <v/>
      </c>
      <c r="M24" s="14" t="str">
        <f t="shared" ca="1" si="16"/>
        <v/>
      </c>
      <c r="N24" s="14" t="str">
        <f t="shared" ca="1" si="16"/>
        <v/>
      </c>
      <c r="O24" s="14" t="str">
        <f t="shared" ca="1" si="16"/>
        <v/>
      </c>
      <c r="P24" s="14" t="str">
        <f t="shared" ca="1" si="16"/>
        <v/>
      </c>
      <c r="Q24" s="14" t="str">
        <f t="shared" ca="1" si="16"/>
        <v/>
      </c>
      <c r="R24" s="14" t="str">
        <f t="shared" ca="1" si="16"/>
        <v/>
      </c>
      <c r="S24" s="14" t="str">
        <f t="shared" ca="1" si="16"/>
        <v/>
      </c>
      <c r="T24" s="14" t="str">
        <f t="shared" ca="1" si="16"/>
        <v/>
      </c>
      <c r="U24" s="14" t="str">
        <f t="shared" ca="1" si="16"/>
        <v/>
      </c>
      <c r="V24" s="14" t="str">
        <f t="shared" ca="1" si="16"/>
        <v/>
      </c>
      <c r="W24" s="14" t="str">
        <f t="shared" ca="1" si="16"/>
        <v/>
      </c>
      <c r="X24" s="14" t="str">
        <f t="shared" ca="1" si="16"/>
        <v/>
      </c>
      <c r="Y24" s="14" t="str">
        <f t="shared" ca="1" si="17"/>
        <v/>
      </c>
      <c r="Z24" s="14" t="str">
        <f t="shared" ca="1" si="17"/>
        <v/>
      </c>
      <c r="AA24" s="14" t="str">
        <f t="shared" ca="1" si="17"/>
        <v/>
      </c>
      <c r="AB24" s="14" t="str">
        <f t="shared" ca="1" si="17"/>
        <v/>
      </c>
      <c r="AC24" s="14" t="str">
        <f t="shared" ca="1" si="17"/>
        <v/>
      </c>
      <c r="AD24" s="14" t="str">
        <f t="shared" ca="1" si="17"/>
        <v/>
      </c>
      <c r="AE24" s="14" t="str">
        <f t="shared" ca="1" si="17"/>
        <v/>
      </c>
      <c r="AF24" s="14" t="str">
        <f t="shared" ca="1" si="17"/>
        <v/>
      </c>
      <c r="AG24" s="14" t="str">
        <f t="shared" ca="1" si="17"/>
        <v/>
      </c>
      <c r="AH24" s="14" t="str">
        <f t="shared" ca="1" si="17"/>
        <v/>
      </c>
      <c r="AI24" s="14" t="str">
        <f t="shared" ca="1" si="17"/>
        <v/>
      </c>
      <c r="AJ24" s="14" t="str">
        <f t="shared" ca="1" si="17"/>
        <v/>
      </c>
      <c r="AK24" s="14" t="str">
        <f t="shared" ca="1" si="17"/>
        <v/>
      </c>
      <c r="AL24" s="14" t="str">
        <f t="shared" ca="1" si="17"/>
        <v/>
      </c>
      <c r="AM24" s="14" t="str">
        <f t="shared" ca="1" si="17"/>
        <v/>
      </c>
      <c r="AN24" s="14" t="str">
        <f t="shared" ca="1" si="17"/>
        <v/>
      </c>
      <c r="AO24" s="14" t="str">
        <f t="shared" ca="1" si="18"/>
        <v/>
      </c>
      <c r="AP24" s="14" t="str">
        <f t="shared" ca="1" si="18"/>
        <v/>
      </c>
      <c r="AQ24" s="14" t="str">
        <f t="shared" ca="1" si="18"/>
        <v/>
      </c>
      <c r="AR24" s="14" t="str">
        <f t="shared" ca="1" si="18"/>
        <v/>
      </c>
      <c r="AS24" s="14" t="str">
        <f t="shared" ca="1" si="18"/>
        <v/>
      </c>
      <c r="AT24" s="14" t="str">
        <f t="shared" ca="1" si="18"/>
        <v/>
      </c>
      <c r="AU24" s="14" t="str">
        <f t="shared" ca="1" si="18"/>
        <v/>
      </c>
      <c r="AV24" s="14" t="str">
        <f t="shared" ca="1" si="18"/>
        <v/>
      </c>
      <c r="AW24" s="14" t="str">
        <f t="shared" ca="1" si="18"/>
        <v/>
      </c>
      <c r="AX24" s="14" t="str">
        <f t="shared" ca="1" si="18"/>
        <v/>
      </c>
      <c r="AY24" s="14" t="str">
        <f t="shared" ca="1" si="18"/>
        <v/>
      </c>
      <c r="AZ24" s="14" t="str">
        <f t="shared" ca="1" si="18"/>
        <v/>
      </c>
      <c r="BA24" s="14" t="str">
        <f t="shared" ca="1" si="18"/>
        <v/>
      </c>
      <c r="BB24" s="14" t="str">
        <f t="shared" ca="1" si="18"/>
        <v/>
      </c>
      <c r="BC24" s="14" t="str">
        <f t="shared" ca="1" si="18"/>
        <v/>
      </c>
      <c r="BD24" s="14" t="str">
        <f t="shared" ca="1" si="18"/>
        <v/>
      </c>
      <c r="BE24" s="14" t="str">
        <f t="shared" ca="1" si="19"/>
        <v/>
      </c>
      <c r="BF24" s="14" t="str">
        <f t="shared" ca="1" si="19"/>
        <v/>
      </c>
      <c r="BG24" s="14" t="str">
        <f t="shared" ca="1" si="19"/>
        <v/>
      </c>
      <c r="BH24" s="14" t="str">
        <f t="shared" ca="1" si="19"/>
        <v/>
      </c>
      <c r="BI24" s="14" t="str">
        <f t="shared" ca="1" si="19"/>
        <v/>
      </c>
      <c r="BJ24" s="14" t="str">
        <f t="shared" ca="1" si="19"/>
        <v/>
      </c>
      <c r="BK24" s="14" t="str">
        <f t="shared" ca="1" si="19"/>
        <v/>
      </c>
      <c r="BL24" s="14" t="str">
        <f t="shared" ca="1" si="19"/>
        <v/>
      </c>
    </row>
    <row r="25" spans="1:64" s="1" customFormat="1" ht="40" customHeight="1" x14ac:dyDescent="0.2">
      <c r="A25" s="6"/>
      <c r="B25" s="62" t="s">
        <v>34</v>
      </c>
      <c r="C25" s="17"/>
      <c r="D25" s="17"/>
      <c r="E25" s="18"/>
      <c r="F25" s="19"/>
      <c r="G25" s="20"/>
      <c r="H25" s="17"/>
      <c r="I25" s="14"/>
      <c r="J25" s="14"/>
      <c r="K25" s="14"/>
      <c r="L25" s="14"/>
      <c r="M25" s="14"/>
      <c r="N25" s="14"/>
      <c r="O25" s="14"/>
      <c r="P25" s="14"/>
      <c r="Q25" s="14"/>
      <c r="R25" s="14"/>
      <c r="S25" s="14"/>
      <c r="T25" s="14"/>
      <c r="U25" s="14"/>
      <c r="V25" s="14"/>
      <c r="W25" s="14"/>
      <c r="X25" s="14"/>
      <c r="Y25" s="14"/>
      <c r="Z25" s="14"/>
      <c r="AA25" s="14"/>
      <c r="AB25" s="14"/>
      <c r="AC25" s="14"/>
      <c r="AD25" s="14"/>
      <c r="AE25" s="14"/>
      <c r="AF25" s="14"/>
      <c r="AG25" s="14"/>
      <c r="AH25" s="14"/>
      <c r="AI25" s="14"/>
      <c r="AJ25" s="14"/>
      <c r="AK25" s="14"/>
      <c r="AL25" s="14"/>
      <c r="AM25" s="14"/>
      <c r="AN25" s="14"/>
      <c r="AO25" s="14"/>
      <c r="AP25" s="14"/>
      <c r="AQ25" s="14"/>
      <c r="AR25" s="14"/>
      <c r="AS25" s="14"/>
      <c r="AT25" s="14"/>
      <c r="AU25" s="14"/>
      <c r="AV25" s="14"/>
      <c r="AW25" s="14"/>
      <c r="AX25" s="14"/>
      <c r="AY25" s="14"/>
      <c r="AZ25" s="14"/>
      <c r="BA25" s="14"/>
      <c r="BB25" s="14"/>
      <c r="BC25" s="14"/>
      <c r="BD25" s="14"/>
      <c r="BE25" s="14"/>
      <c r="BF25" s="14"/>
      <c r="BG25" s="14"/>
      <c r="BH25" s="14"/>
      <c r="BI25" s="14"/>
      <c r="BJ25" s="14"/>
      <c r="BK25" s="14"/>
      <c r="BL25" s="14"/>
    </row>
    <row r="26" spans="1:64" s="1" customFormat="1" ht="40" customHeight="1" x14ac:dyDescent="0.2">
      <c r="A26" s="6"/>
      <c r="B26" s="60" t="s">
        <v>19</v>
      </c>
      <c r="C26" s="17" t="s">
        <v>9</v>
      </c>
      <c r="D26" s="17"/>
      <c r="E26" s="18">
        <v>0.6</v>
      </c>
      <c r="F26" s="19">
        <f ca="1">F12+6</f>
        <v>46070</v>
      </c>
      <c r="G26" s="20">
        <v>13</v>
      </c>
      <c r="H26" s="17"/>
      <c r="I26" s="14"/>
      <c r="J26" s="14"/>
      <c r="K26" s="14"/>
      <c r="L26" s="14"/>
      <c r="M26" s="14"/>
      <c r="N26" s="14"/>
      <c r="O26" s="14"/>
      <c r="P26" s="14"/>
      <c r="Q26" s="14"/>
      <c r="R26" s="14"/>
      <c r="S26" s="14"/>
      <c r="T26" s="14"/>
      <c r="U26" s="14"/>
      <c r="V26" s="14"/>
      <c r="W26" s="14"/>
      <c r="X26" s="14"/>
      <c r="Y26" s="14"/>
      <c r="Z26" s="14"/>
      <c r="AA26" s="14"/>
      <c r="AB26" s="14"/>
      <c r="AC26" s="14"/>
      <c r="AD26" s="14"/>
      <c r="AE26" s="14"/>
      <c r="AF26" s="14"/>
      <c r="AG26" s="14"/>
      <c r="AH26" s="14"/>
      <c r="AI26" s="14"/>
      <c r="AJ26" s="14"/>
      <c r="AK26" s="14"/>
      <c r="AL26" s="14"/>
      <c r="AM26" s="14"/>
      <c r="AN26" s="14"/>
      <c r="AO26" s="14"/>
      <c r="AP26" s="14"/>
      <c r="AQ26" s="14"/>
      <c r="AR26" s="14"/>
      <c r="AS26" s="14"/>
      <c r="AT26" s="14"/>
      <c r="AU26" s="14"/>
      <c r="AV26" s="14"/>
      <c r="AW26" s="14"/>
      <c r="AX26" s="14"/>
      <c r="AY26" s="14"/>
      <c r="AZ26" s="14"/>
      <c r="BA26" s="14"/>
      <c r="BB26" s="14"/>
      <c r="BC26" s="14"/>
      <c r="BD26" s="14"/>
      <c r="BE26" s="14"/>
      <c r="BF26" s="14"/>
      <c r="BG26" s="14"/>
      <c r="BH26" s="14"/>
      <c r="BI26" s="14"/>
      <c r="BJ26" s="14"/>
      <c r="BK26" s="14"/>
      <c r="BL26" s="14"/>
    </row>
    <row r="27" spans="1:64" s="1" customFormat="1" ht="40" customHeight="1" x14ac:dyDescent="0.2">
      <c r="A27" s="6"/>
      <c r="B27" s="60" t="s">
        <v>20</v>
      </c>
      <c r="C27" s="17" t="s">
        <v>10</v>
      </c>
      <c r="D27" s="17"/>
      <c r="E27" s="18">
        <v>0.5</v>
      </c>
      <c r="F27" s="19">
        <f ca="1">F26+2</f>
        <v>46072</v>
      </c>
      <c r="G27" s="20">
        <v>9</v>
      </c>
      <c r="H27" s="17"/>
      <c r="I27" s="14"/>
      <c r="J27" s="14"/>
      <c r="K27" s="14"/>
      <c r="L27" s="14"/>
      <c r="M27" s="14"/>
      <c r="N27" s="14"/>
      <c r="O27" s="14"/>
      <c r="P27" s="14"/>
      <c r="Q27" s="14"/>
      <c r="R27" s="14"/>
      <c r="S27" s="14"/>
      <c r="T27" s="14"/>
      <c r="U27" s="14"/>
      <c r="V27" s="14"/>
      <c r="W27" s="14"/>
      <c r="X27" s="14"/>
      <c r="Y27" s="14"/>
      <c r="Z27" s="14"/>
      <c r="AA27" s="14"/>
      <c r="AB27" s="14"/>
      <c r="AC27" s="14"/>
      <c r="AD27" s="14"/>
      <c r="AE27" s="14"/>
      <c r="AF27" s="14"/>
      <c r="AG27" s="14"/>
      <c r="AH27" s="14"/>
      <c r="AI27" s="14"/>
      <c r="AJ27" s="14"/>
      <c r="AK27" s="14"/>
      <c r="AL27" s="14"/>
      <c r="AM27" s="14"/>
      <c r="AN27" s="14"/>
      <c r="AO27" s="14"/>
      <c r="AP27" s="14"/>
      <c r="AQ27" s="14"/>
      <c r="AR27" s="14"/>
      <c r="AS27" s="14"/>
      <c r="AT27" s="14"/>
      <c r="AU27" s="14"/>
      <c r="AV27" s="14"/>
      <c r="AW27" s="14"/>
      <c r="AX27" s="14"/>
      <c r="AY27" s="14"/>
      <c r="AZ27" s="14"/>
      <c r="BA27" s="14"/>
      <c r="BB27" s="14"/>
      <c r="BC27" s="14"/>
      <c r="BD27" s="14"/>
      <c r="BE27" s="14"/>
      <c r="BF27" s="14"/>
      <c r="BG27" s="14"/>
      <c r="BH27" s="14"/>
      <c r="BI27" s="14"/>
      <c r="BJ27" s="14"/>
      <c r="BK27" s="14"/>
      <c r="BL27" s="14"/>
    </row>
    <row r="28" spans="1:64" s="1" customFormat="1" ht="40" customHeight="1" x14ac:dyDescent="0.2">
      <c r="A28" s="6"/>
      <c r="B28" s="60" t="s">
        <v>21</v>
      </c>
      <c r="C28" s="17" t="s">
        <v>8</v>
      </c>
      <c r="D28" s="17"/>
      <c r="E28" s="18">
        <v>0.33</v>
      </c>
      <c r="F28" s="19">
        <f ca="1">F27+5</f>
        <v>46077</v>
      </c>
      <c r="G28" s="20">
        <v>11</v>
      </c>
      <c r="H28" s="17"/>
      <c r="I28" s="14"/>
      <c r="J28" s="14"/>
      <c r="K28" s="14"/>
      <c r="L28" s="14"/>
      <c r="M28" s="14"/>
      <c r="N28" s="14"/>
      <c r="O28" s="14"/>
      <c r="P28" s="14"/>
      <c r="Q28" s="14"/>
      <c r="R28" s="14"/>
      <c r="S28" s="14"/>
      <c r="T28" s="14"/>
      <c r="U28" s="14"/>
      <c r="V28" s="14"/>
      <c r="W28" s="14"/>
      <c r="X28" s="14"/>
      <c r="Y28" s="14"/>
      <c r="Z28" s="14"/>
      <c r="AA28" s="14"/>
      <c r="AB28" s="14"/>
      <c r="AC28" s="14"/>
      <c r="AD28" s="14"/>
      <c r="AE28" s="14"/>
      <c r="AF28" s="14"/>
      <c r="AG28" s="14"/>
      <c r="AH28" s="14"/>
      <c r="AI28" s="14"/>
      <c r="AJ28" s="14"/>
      <c r="AK28" s="14"/>
      <c r="AL28" s="14"/>
      <c r="AM28" s="14"/>
      <c r="AN28" s="14"/>
      <c r="AO28" s="14"/>
      <c r="AP28" s="14"/>
      <c r="AQ28" s="14"/>
      <c r="AR28" s="14"/>
      <c r="AS28" s="14"/>
      <c r="AT28" s="14"/>
      <c r="AU28" s="14"/>
      <c r="AV28" s="14"/>
      <c r="AW28" s="14"/>
      <c r="AX28" s="14"/>
      <c r="AY28" s="14"/>
      <c r="AZ28" s="14"/>
      <c r="BA28" s="14"/>
      <c r="BB28" s="14"/>
      <c r="BC28" s="14"/>
      <c r="BD28" s="14"/>
      <c r="BE28" s="14"/>
      <c r="BF28" s="14"/>
      <c r="BG28" s="14"/>
      <c r="BH28" s="14"/>
      <c r="BI28" s="14"/>
      <c r="BJ28" s="14"/>
      <c r="BK28" s="14"/>
      <c r="BL28" s="14"/>
    </row>
    <row r="29" spans="1:64" s="1" customFormat="1" ht="40" customHeight="1" x14ac:dyDescent="0.2">
      <c r="A29" s="7"/>
      <c r="B29" s="60" t="s">
        <v>22</v>
      </c>
      <c r="C29" s="17" t="s">
        <v>4</v>
      </c>
      <c r="D29" s="17"/>
      <c r="E29" s="18"/>
      <c r="F29" s="19">
        <f ca="1">F28+2</f>
        <v>46079</v>
      </c>
      <c r="G29" s="20">
        <v>1</v>
      </c>
      <c r="H29" s="17"/>
      <c r="I29" s="14" t="str">
        <f t="shared" ref="I29:AN29" ca="1" si="20">IF(AND($C25="Goal",I$7&gt;=$F25,I$7&lt;=$F25+$G25-1),2,IF(AND($C25="Milestone",I$7&gt;=$F25,I$7&lt;=$F25+$G25-1),1,""))</f>
        <v/>
      </c>
      <c r="J29" s="14" t="str">
        <f t="shared" ca="1" si="20"/>
        <v/>
      </c>
      <c r="K29" s="14" t="str">
        <f t="shared" ca="1" si="20"/>
        <v/>
      </c>
      <c r="L29" s="14" t="str">
        <f t="shared" ca="1" si="20"/>
        <v/>
      </c>
      <c r="M29" s="14" t="str">
        <f t="shared" ca="1" si="20"/>
        <v/>
      </c>
      <c r="N29" s="14" t="str">
        <f t="shared" ca="1" si="20"/>
        <v/>
      </c>
      <c r="O29" s="14" t="str">
        <f t="shared" ca="1" si="20"/>
        <v/>
      </c>
      <c r="P29" s="14" t="str">
        <f t="shared" ca="1" si="20"/>
        <v/>
      </c>
      <c r="Q29" s="14" t="str">
        <f t="shared" ca="1" si="20"/>
        <v/>
      </c>
      <c r="R29" s="14" t="str">
        <f t="shared" ca="1" si="20"/>
        <v/>
      </c>
      <c r="S29" s="14" t="str">
        <f t="shared" ca="1" si="20"/>
        <v/>
      </c>
      <c r="T29" s="14" t="str">
        <f t="shared" ca="1" si="20"/>
        <v/>
      </c>
      <c r="U29" s="14" t="str">
        <f t="shared" ca="1" si="20"/>
        <v/>
      </c>
      <c r="V29" s="14" t="str">
        <f t="shared" ca="1" si="20"/>
        <v/>
      </c>
      <c r="W29" s="14" t="str">
        <f t="shared" ca="1" si="20"/>
        <v/>
      </c>
      <c r="X29" s="14" t="str">
        <f t="shared" ca="1" si="20"/>
        <v/>
      </c>
      <c r="Y29" s="14" t="str">
        <f t="shared" ca="1" si="20"/>
        <v/>
      </c>
      <c r="Z29" s="14" t="str">
        <f t="shared" ca="1" si="20"/>
        <v/>
      </c>
      <c r="AA29" s="14" t="str">
        <f t="shared" ca="1" si="20"/>
        <v/>
      </c>
      <c r="AB29" s="14" t="str">
        <f t="shared" ca="1" si="20"/>
        <v/>
      </c>
      <c r="AC29" s="14" t="str">
        <f t="shared" ca="1" si="20"/>
        <v/>
      </c>
      <c r="AD29" s="14" t="str">
        <f t="shared" ca="1" si="20"/>
        <v/>
      </c>
      <c r="AE29" s="14" t="str">
        <f t="shared" ca="1" si="20"/>
        <v/>
      </c>
      <c r="AF29" s="14" t="str">
        <f t="shared" ca="1" si="20"/>
        <v/>
      </c>
      <c r="AG29" s="14" t="str">
        <f t="shared" ca="1" si="20"/>
        <v/>
      </c>
      <c r="AH29" s="14" t="str">
        <f t="shared" ca="1" si="20"/>
        <v/>
      </c>
      <c r="AI29" s="14" t="str">
        <f t="shared" ca="1" si="20"/>
        <v/>
      </c>
      <c r="AJ29" s="14" t="str">
        <f t="shared" ca="1" si="20"/>
        <v/>
      </c>
      <c r="AK29" s="14" t="str">
        <f t="shared" ca="1" si="20"/>
        <v/>
      </c>
      <c r="AL29" s="14" t="str">
        <f t="shared" ca="1" si="20"/>
        <v/>
      </c>
      <c r="AM29" s="14" t="str">
        <f t="shared" ca="1" si="20"/>
        <v/>
      </c>
      <c r="AN29" s="14" t="str">
        <f t="shared" ca="1" si="20"/>
        <v/>
      </c>
      <c r="AO29" s="14" t="str">
        <f t="shared" ref="AO29:BL29" ca="1" si="21">IF(AND($C25="Goal",AO$7&gt;=$F25,AO$7&lt;=$F25+$G25-1),2,IF(AND($C25="Milestone",AO$7&gt;=$F25,AO$7&lt;=$F25+$G25-1),1,""))</f>
        <v/>
      </c>
      <c r="AP29" s="14" t="str">
        <f t="shared" ca="1" si="21"/>
        <v/>
      </c>
      <c r="AQ29" s="14" t="str">
        <f t="shared" ca="1" si="21"/>
        <v/>
      </c>
      <c r="AR29" s="14" t="str">
        <f t="shared" ca="1" si="21"/>
        <v/>
      </c>
      <c r="AS29" s="14" t="str">
        <f t="shared" ca="1" si="21"/>
        <v/>
      </c>
      <c r="AT29" s="14" t="str">
        <f t="shared" ca="1" si="21"/>
        <v/>
      </c>
      <c r="AU29" s="14" t="str">
        <f t="shared" ca="1" si="21"/>
        <v/>
      </c>
      <c r="AV29" s="14" t="str">
        <f t="shared" ca="1" si="21"/>
        <v/>
      </c>
      <c r="AW29" s="14" t="str">
        <f t="shared" ca="1" si="21"/>
        <v/>
      </c>
      <c r="AX29" s="14" t="str">
        <f t="shared" ca="1" si="21"/>
        <v/>
      </c>
      <c r="AY29" s="14" t="str">
        <f t="shared" ca="1" si="21"/>
        <v/>
      </c>
      <c r="AZ29" s="14" t="str">
        <f t="shared" ca="1" si="21"/>
        <v/>
      </c>
      <c r="BA29" s="14" t="str">
        <f t="shared" ca="1" si="21"/>
        <v/>
      </c>
      <c r="BB29" s="14" t="str">
        <f t="shared" ca="1" si="21"/>
        <v/>
      </c>
      <c r="BC29" s="14" t="str">
        <f t="shared" ca="1" si="21"/>
        <v/>
      </c>
      <c r="BD29" s="14" t="str">
        <f t="shared" ca="1" si="21"/>
        <v/>
      </c>
      <c r="BE29" s="14" t="str">
        <f t="shared" ca="1" si="21"/>
        <v/>
      </c>
      <c r="BF29" s="14" t="str">
        <f t="shared" ca="1" si="21"/>
        <v/>
      </c>
      <c r="BG29" s="14" t="str">
        <f t="shared" ca="1" si="21"/>
        <v/>
      </c>
      <c r="BH29" s="14" t="str">
        <f t="shared" ca="1" si="21"/>
        <v/>
      </c>
      <c r="BI29" s="14" t="str">
        <f t="shared" ca="1" si="21"/>
        <v/>
      </c>
      <c r="BJ29" s="14" t="str">
        <f t="shared" ca="1" si="21"/>
        <v/>
      </c>
      <c r="BK29" s="14" t="str">
        <f t="shared" ca="1" si="21"/>
        <v/>
      </c>
      <c r="BL29" s="14" t="str">
        <f t="shared" ca="1" si="21"/>
        <v/>
      </c>
    </row>
    <row r="30" spans="1:64" s="1" customFormat="1" ht="40" customHeight="1" x14ac:dyDescent="0.2">
      <c r="A30" s="7"/>
      <c r="B30" s="60" t="s">
        <v>23</v>
      </c>
      <c r="C30" s="17"/>
      <c r="D30" s="17"/>
      <c r="E30" s="18"/>
      <c r="F30" s="19">
        <f ca="1">F29+1</f>
        <v>46080</v>
      </c>
      <c r="G30" s="20">
        <v>24</v>
      </c>
      <c r="H30" s="17"/>
      <c r="I30" s="14" t="str">
        <f t="shared" ref="I30:AN30" ca="1" si="22">IF(AND($C26="Goal",I$7&gt;=$F26,I$7&lt;=$F26+$G26-1),2,IF(AND($C26="Milestone",I$7&gt;=$F26,I$7&lt;=$F26+$G26-1),1,""))</f>
        <v/>
      </c>
      <c r="J30" s="14" t="str">
        <f t="shared" ca="1" si="22"/>
        <v/>
      </c>
      <c r="K30" s="14" t="str">
        <f t="shared" ca="1" si="22"/>
        <v/>
      </c>
      <c r="L30" s="14" t="str">
        <f t="shared" ca="1" si="22"/>
        <v/>
      </c>
      <c r="M30" s="14" t="str">
        <f t="shared" ca="1" si="22"/>
        <v/>
      </c>
      <c r="N30" s="14" t="str">
        <f t="shared" ca="1" si="22"/>
        <v/>
      </c>
      <c r="O30" s="14" t="str">
        <f t="shared" ca="1" si="22"/>
        <v/>
      </c>
      <c r="P30" s="14" t="str">
        <f t="shared" ca="1" si="22"/>
        <v/>
      </c>
      <c r="Q30" s="14" t="str">
        <f t="shared" ca="1" si="22"/>
        <v/>
      </c>
      <c r="R30" s="14" t="str">
        <f t="shared" ca="1" si="22"/>
        <v/>
      </c>
      <c r="S30" s="14" t="str">
        <f t="shared" ca="1" si="22"/>
        <v/>
      </c>
      <c r="T30" s="14" t="str">
        <f t="shared" ca="1" si="22"/>
        <v/>
      </c>
      <c r="U30" s="14" t="str">
        <f t="shared" ca="1" si="22"/>
        <v/>
      </c>
      <c r="V30" s="14" t="str">
        <f t="shared" ca="1" si="22"/>
        <v/>
      </c>
      <c r="W30" s="14" t="str">
        <f t="shared" ca="1" si="22"/>
        <v/>
      </c>
      <c r="X30" s="14" t="str">
        <f t="shared" ca="1" si="22"/>
        <v/>
      </c>
      <c r="Y30" s="14" t="str">
        <f t="shared" ca="1" si="22"/>
        <v/>
      </c>
      <c r="Z30" s="14" t="str">
        <f t="shared" ca="1" si="22"/>
        <v/>
      </c>
      <c r="AA30" s="14" t="str">
        <f t="shared" ca="1" si="22"/>
        <v/>
      </c>
      <c r="AB30" s="14" t="str">
        <f t="shared" ca="1" si="22"/>
        <v/>
      </c>
      <c r="AC30" s="14" t="str">
        <f t="shared" ca="1" si="22"/>
        <v/>
      </c>
      <c r="AD30" s="14" t="str">
        <f t="shared" ca="1" si="22"/>
        <v/>
      </c>
      <c r="AE30" s="14" t="str">
        <f t="shared" ca="1" si="22"/>
        <v/>
      </c>
      <c r="AF30" s="14" t="str">
        <f t="shared" ca="1" si="22"/>
        <v/>
      </c>
      <c r="AG30" s="14" t="str">
        <f t="shared" ca="1" si="22"/>
        <v/>
      </c>
      <c r="AH30" s="14" t="str">
        <f t="shared" ca="1" si="22"/>
        <v/>
      </c>
      <c r="AI30" s="14" t="str">
        <f t="shared" ca="1" si="22"/>
        <v/>
      </c>
      <c r="AJ30" s="14" t="str">
        <f t="shared" ca="1" si="22"/>
        <v/>
      </c>
      <c r="AK30" s="14" t="str">
        <f t="shared" ca="1" si="22"/>
        <v/>
      </c>
      <c r="AL30" s="14" t="str">
        <f t="shared" ca="1" si="22"/>
        <v/>
      </c>
      <c r="AM30" s="14" t="str">
        <f t="shared" ca="1" si="22"/>
        <v/>
      </c>
      <c r="AN30" s="14" t="str">
        <f t="shared" ca="1" si="22"/>
        <v/>
      </c>
      <c r="AO30" s="14" t="str">
        <f t="shared" ref="AO30:BL30" ca="1" si="23">IF(AND($C26="Goal",AO$7&gt;=$F26,AO$7&lt;=$F26+$G26-1),2,IF(AND($C26="Milestone",AO$7&gt;=$F26,AO$7&lt;=$F26+$G26-1),1,""))</f>
        <v/>
      </c>
      <c r="AP30" s="14" t="str">
        <f t="shared" ca="1" si="23"/>
        <v/>
      </c>
      <c r="AQ30" s="14" t="str">
        <f t="shared" ca="1" si="23"/>
        <v/>
      </c>
      <c r="AR30" s="14" t="str">
        <f t="shared" ca="1" si="23"/>
        <v/>
      </c>
      <c r="AS30" s="14" t="str">
        <f t="shared" ca="1" si="23"/>
        <v/>
      </c>
      <c r="AT30" s="14" t="str">
        <f t="shared" ca="1" si="23"/>
        <v/>
      </c>
      <c r="AU30" s="14" t="str">
        <f t="shared" ca="1" si="23"/>
        <v/>
      </c>
      <c r="AV30" s="14" t="str">
        <f t="shared" ca="1" si="23"/>
        <v/>
      </c>
      <c r="AW30" s="14" t="str">
        <f t="shared" ca="1" si="23"/>
        <v/>
      </c>
      <c r="AX30" s="14" t="str">
        <f t="shared" ca="1" si="23"/>
        <v/>
      </c>
      <c r="AY30" s="14" t="str">
        <f t="shared" ca="1" si="23"/>
        <v/>
      </c>
      <c r="AZ30" s="14" t="str">
        <f t="shared" ca="1" si="23"/>
        <v/>
      </c>
      <c r="BA30" s="14" t="str">
        <f t="shared" ca="1" si="23"/>
        <v/>
      </c>
      <c r="BB30" s="14" t="str">
        <f t="shared" ca="1" si="23"/>
        <v/>
      </c>
      <c r="BC30" s="14" t="str">
        <f t="shared" ca="1" si="23"/>
        <v/>
      </c>
      <c r="BD30" s="14" t="str">
        <f t="shared" ca="1" si="23"/>
        <v/>
      </c>
      <c r="BE30" s="14" t="str">
        <f t="shared" ca="1" si="23"/>
        <v/>
      </c>
      <c r="BF30" s="14" t="str">
        <f t="shared" ca="1" si="23"/>
        <v/>
      </c>
      <c r="BG30" s="14" t="str">
        <f t="shared" ca="1" si="23"/>
        <v/>
      </c>
      <c r="BH30" s="14" t="str">
        <f t="shared" ca="1" si="23"/>
        <v/>
      </c>
      <c r="BI30" s="14" t="str">
        <f t="shared" ca="1" si="23"/>
        <v/>
      </c>
      <c r="BJ30" s="14" t="str">
        <f t="shared" ca="1" si="23"/>
        <v/>
      </c>
      <c r="BK30" s="14" t="str">
        <f t="shared" ca="1" si="23"/>
        <v/>
      </c>
      <c r="BL30" s="14" t="str">
        <f t="shared" ca="1" si="23"/>
        <v/>
      </c>
    </row>
    <row r="31" spans="1:64" s="1" customFormat="1" ht="40" customHeight="1" x14ac:dyDescent="0.2">
      <c r="A31" s="6"/>
      <c r="B31" s="62" t="s">
        <v>35</v>
      </c>
      <c r="C31" s="17"/>
      <c r="D31" s="17"/>
      <c r="E31" s="18"/>
      <c r="F31" s="19"/>
      <c r="G31" s="20"/>
      <c r="H31" s="17"/>
      <c r="I31" s="14" t="str">
        <f t="shared" ref="I31:AN31" ca="1" si="24">IF(AND($C27="Goal",I$7&gt;=$F27,I$7&lt;=$F27+$G27-1),2,IF(AND($C27="Milestone",I$7&gt;=$F27,I$7&lt;=$F27+$G27-1),1,""))</f>
        <v/>
      </c>
      <c r="J31" s="14" t="str">
        <f t="shared" ca="1" si="24"/>
        <v/>
      </c>
      <c r="K31" s="14" t="str">
        <f t="shared" ca="1" si="24"/>
        <v/>
      </c>
      <c r="L31" s="14" t="str">
        <f t="shared" ca="1" si="24"/>
        <v/>
      </c>
      <c r="M31" s="14" t="str">
        <f t="shared" ca="1" si="24"/>
        <v/>
      </c>
      <c r="N31" s="14" t="str">
        <f t="shared" ca="1" si="24"/>
        <v/>
      </c>
      <c r="O31" s="14" t="str">
        <f t="shared" ca="1" si="24"/>
        <v/>
      </c>
      <c r="P31" s="14" t="str">
        <f t="shared" ca="1" si="24"/>
        <v/>
      </c>
      <c r="Q31" s="14" t="str">
        <f t="shared" ca="1" si="24"/>
        <v/>
      </c>
      <c r="R31" s="14" t="str">
        <f t="shared" ca="1" si="24"/>
        <v/>
      </c>
      <c r="S31" s="14" t="str">
        <f t="shared" ca="1" si="24"/>
        <v/>
      </c>
      <c r="T31" s="14" t="str">
        <f t="shared" ca="1" si="24"/>
        <v/>
      </c>
      <c r="U31" s="14" t="str">
        <f t="shared" ca="1" si="24"/>
        <v/>
      </c>
      <c r="V31" s="14" t="str">
        <f t="shared" ca="1" si="24"/>
        <v/>
      </c>
      <c r="W31" s="14" t="str">
        <f t="shared" ca="1" si="24"/>
        <v/>
      </c>
      <c r="X31" s="14" t="str">
        <f t="shared" ca="1" si="24"/>
        <v/>
      </c>
      <c r="Y31" s="14" t="str">
        <f t="shared" ca="1" si="24"/>
        <v/>
      </c>
      <c r="Z31" s="14" t="str">
        <f t="shared" ca="1" si="24"/>
        <v/>
      </c>
      <c r="AA31" s="14" t="str">
        <f t="shared" ca="1" si="24"/>
        <v/>
      </c>
      <c r="AB31" s="14" t="str">
        <f t="shared" ca="1" si="24"/>
        <v/>
      </c>
      <c r="AC31" s="14" t="str">
        <f t="shared" ca="1" si="24"/>
        <v/>
      </c>
      <c r="AD31" s="14" t="str">
        <f t="shared" ca="1" si="24"/>
        <v/>
      </c>
      <c r="AE31" s="14" t="str">
        <f t="shared" ca="1" si="24"/>
        <v/>
      </c>
      <c r="AF31" s="14" t="str">
        <f t="shared" ca="1" si="24"/>
        <v/>
      </c>
      <c r="AG31" s="14" t="str">
        <f t="shared" ca="1" si="24"/>
        <v/>
      </c>
      <c r="AH31" s="14" t="str">
        <f t="shared" ca="1" si="24"/>
        <v/>
      </c>
      <c r="AI31" s="14" t="str">
        <f t="shared" ca="1" si="24"/>
        <v/>
      </c>
      <c r="AJ31" s="14" t="str">
        <f t="shared" ca="1" si="24"/>
        <v/>
      </c>
      <c r="AK31" s="14" t="str">
        <f t="shared" ca="1" si="24"/>
        <v/>
      </c>
      <c r="AL31" s="14" t="str">
        <f t="shared" ca="1" si="24"/>
        <v/>
      </c>
      <c r="AM31" s="14" t="str">
        <f t="shared" ca="1" si="24"/>
        <v/>
      </c>
      <c r="AN31" s="14" t="str">
        <f t="shared" ca="1" si="24"/>
        <v/>
      </c>
      <c r="AO31" s="14" t="str">
        <f t="shared" ref="AO31:BL31" ca="1" si="25">IF(AND($C27="Goal",AO$7&gt;=$F27,AO$7&lt;=$F27+$G27-1),2,IF(AND($C27="Milestone",AO$7&gt;=$F27,AO$7&lt;=$F27+$G27-1),1,""))</f>
        <v/>
      </c>
      <c r="AP31" s="14" t="str">
        <f t="shared" ca="1" si="25"/>
        <v/>
      </c>
      <c r="AQ31" s="14" t="str">
        <f t="shared" ca="1" si="25"/>
        <v/>
      </c>
      <c r="AR31" s="14" t="str">
        <f t="shared" ca="1" si="25"/>
        <v/>
      </c>
      <c r="AS31" s="14" t="str">
        <f t="shared" ca="1" si="25"/>
        <v/>
      </c>
      <c r="AT31" s="14" t="str">
        <f t="shared" ca="1" si="25"/>
        <v/>
      </c>
      <c r="AU31" s="14" t="str">
        <f t="shared" ca="1" si="25"/>
        <v/>
      </c>
      <c r="AV31" s="14" t="str">
        <f t="shared" ca="1" si="25"/>
        <v/>
      </c>
      <c r="AW31" s="14" t="str">
        <f t="shared" ca="1" si="25"/>
        <v/>
      </c>
      <c r="AX31" s="14" t="str">
        <f t="shared" ca="1" si="25"/>
        <v/>
      </c>
      <c r="AY31" s="14" t="str">
        <f t="shared" ca="1" si="25"/>
        <v/>
      </c>
      <c r="AZ31" s="14" t="str">
        <f t="shared" ca="1" si="25"/>
        <v/>
      </c>
      <c r="BA31" s="14" t="str">
        <f t="shared" ca="1" si="25"/>
        <v/>
      </c>
      <c r="BB31" s="14" t="str">
        <f t="shared" ca="1" si="25"/>
        <v/>
      </c>
      <c r="BC31" s="14" t="str">
        <f t="shared" ca="1" si="25"/>
        <v/>
      </c>
      <c r="BD31" s="14" t="str">
        <f t="shared" ca="1" si="25"/>
        <v/>
      </c>
      <c r="BE31" s="14" t="str">
        <f t="shared" ca="1" si="25"/>
        <v/>
      </c>
      <c r="BF31" s="14" t="str">
        <f t="shared" ca="1" si="25"/>
        <v/>
      </c>
      <c r="BG31" s="14" t="str">
        <f t="shared" ca="1" si="25"/>
        <v/>
      </c>
      <c r="BH31" s="14" t="str">
        <f t="shared" ca="1" si="25"/>
        <v/>
      </c>
      <c r="BI31" s="14" t="str">
        <f t="shared" ca="1" si="25"/>
        <v/>
      </c>
      <c r="BJ31" s="14" t="str">
        <f t="shared" ca="1" si="25"/>
        <v/>
      </c>
      <c r="BK31" s="14" t="str">
        <f t="shared" ca="1" si="25"/>
        <v/>
      </c>
      <c r="BL31" s="14" t="str">
        <f t="shared" ca="1" si="25"/>
        <v/>
      </c>
    </row>
    <row r="32" spans="1:64" s="1" customFormat="1" ht="40" customHeight="1" x14ac:dyDescent="0.2">
      <c r="A32" s="6"/>
      <c r="B32" s="60" t="s">
        <v>24</v>
      </c>
      <c r="C32" s="17" t="s">
        <v>10</v>
      </c>
      <c r="D32" s="17"/>
      <c r="E32" s="18"/>
      <c r="F32" s="19">
        <f ca="1">F12+15</f>
        <v>46079</v>
      </c>
      <c r="G32" s="20">
        <v>4</v>
      </c>
      <c r="H32" s="17"/>
      <c r="I32" s="14" t="str">
        <f t="shared" ref="I32:AN32" ca="1" si="26">IF(AND($C28="Goal",I$7&gt;=$F28,I$7&lt;=$F28+$G28-1),2,IF(AND($C28="Milestone",I$7&gt;=$F28,I$7&lt;=$F28+$G28-1),1,""))</f>
        <v/>
      </c>
      <c r="J32" s="14" t="str">
        <f t="shared" ca="1" si="26"/>
        <v/>
      </c>
      <c r="K32" s="14" t="str">
        <f t="shared" ca="1" si="26"/>
        <v/>
      </c>
      <c r="L32" s="14" t="str">
        <f t="shared" ca="1" si="26"/>
        <v/>
      </c>
      <c r="M32" s="14" t="str">
        <f t="shared" ca="1" si="26"/>
        <v/>
      </c>
      <c r="N32" s="14" t="str">
        <f t="shared" ca="1" si="26"/>
        <v/>
      </c>
      <c r="O32" s="14" t="str">
        <f t="shared" ca="1" si="26"/>
        <v/>
      </c>
      <c r="P32" s="14" t="str">
        <f t="shared" ca="1" si="26"/>
        <v/>
      </c>
      <c r="Q32" s="14" t="str">
        <f t="shared" ca="1" si="26"/>
        <v/>
      </c>
      <c r="R32" s="14" t="str">
        <f t="shared" ca="1" si="26"/>
        <v/>
      </c>
      <c r="S32" s="14" t="str">
        <f t="shared" ca="1" si="26"/>
        <v/>
      </c>
      <c r="T32" s="14" t="str">
        <f t="shared" ca="1" si="26"/>
        <v/>
      </c>
      <c r="U32" s="14" t="str">
        <f t="shared" ca="1" si="26"/>
        <v/>
      </c>
      <c r="V32" s="14" t="str">
        <f t="shared" ca="1" si="26"/>
        <v/>
      </c>
      <c r="W32" s="14" t="str">
        <f t="shared" ca="1" si="26"/>
        <v/>
      </c>
      <c r="X32" s="14" t="str">
        <f t="shared" ca="1" si="26"/>
        <v/>
      </c>
      <c r="Y32" s="14" t="str">
        <f t="shared" ca="1" si="26"/>
        <v/>
      </c>
      <c r="Z32" s="14" t="str">
        <f t="shared" ca="1" si="26"/>
        <v/>
      </c>
      <c r="AA32" s="14" t="str">
        <f t="shared" ca="1" si="26"/>
        <v/>
      </c>
      <c r="AB32" s="14" t="str">
        <f t="shared" ca="1" si="26"/>
        <v/>
      </c>
      <c r="AC32" s="14" t="str">
        <f t="shared" ca="1" si="26"/>
        <v/>
      </c>
      <c r="AD32" s="14" t="str">
        <f t="shared" ca="1" si="26"/>
        <v/>
      </c>
      <c r="AE32" s="14" t="str">
        <f t="shared" ca="1" si="26"/>
        <v/>
      </c>
      <c r="AF32" s="14" t="str">
        <f t="shared" ca="1" si="26"/>
        <v/>
      </c>
      <c r="AG32" s="14" t="str">
        <f t="shared" ca="1" si="26"/>
        <v/>
      </c>
      <c r="AH32" s="14" t="str">
        <f t="shared" ca="1" si="26"/>
        <v/>
      </c>
      <c r="AI32" s="14" t="str">
        <f t="shared" ca="1" si="26"/>
        <v/>
      </c>
      <c r="AJ32" s="14" t="str">
        <f t="shared" ca="1" si="26"/>
        <v/>
      </c>
      <c r="AK32" s="14" t="str">
        <f t="shared" ca="1" si="26"/>
        <v/>
      </c>
      <c r="AL32" s="14" t="str">
        <f t="shared" ca="1" si="26"/>
        <v/>
      </c>
      <c r="AM32" s="14" t="str">
        <f t="shared" ca="1" si="26"/>
        <v/>
      </c>
      <c r="AN32" s="14" t="str">
        <f t="shared" ca="1" si="26"/>
        <v/>
      </c>
      <c r="AO32" s="14" t="str">
        <f t="shared" ref="AO32:BL32" ca="1" si="27">IF(AND($C28="Goal",AO$7&gt;=$F28,AO$7&lt;=$F28+$G28-1),2,IF(AND($C28="Milestone",AO$7&gt;=$F28,AO$7&lt;=$F28+$G28-1),1,""))</f>
        <v/>
      </c>
      <c r="AP32" s="14" t="str">
        <f t="shared" ca="1" si="27"/>
        <v/>
      </c>
      <c r="AQ32" s="14" t="str">
        <f t="shared" ca="1" si="27"/>
        <v/>
      </c>
      <c r="AR32" s="14" t="str">
        <f t="shared" ca="1" si="27"/>
        <v/>
      </c>
      <c r="AS32" s="14" t="str">
        <f t="shared" ca="1" si="27"/>
        <v/>
      </c>
      <c r="AT32" s="14" t="str">
        <f t="shared" ca="1" si="27"/>
        <v/>
      </c>
      <c r="AU32" s="14" t="str">
        <f t="shared" ca="1" si="27"/>
        <v/>
      </c>
      <c r="AV32" s="14" t="str">
        <f t="shared" ca="1" si="27"/>
        <v/>
      </c>
      <c r="AW32" s="14" t="str">
        <f t="shared" ca="1" si="27"/>
        <v/>
      </c>
      <c r="AX32" s="14" t="str">
        <f t="shared" ca="1" si="27"/>
        <v/>
      </c>
      <c r="AY32" s="14" t="str">
        <f t="shared" ca="1" si="27"/>
        <v/>
      </c>
      <c r="AZ32" s="14" t="str">
        <f t="shared" ca="1" si="27"/>
        <v/>
      </c>
      <c r="BA32" s="14" t="str">
        <f t="shared" ca="1" si="27"/>
        <v/>
      </c>
      <c r="BB32" s="14" t="str">
        <f t="shared" ca="1" si="27"/>
        <v/>
      </c>
      <c r="BC32" s="14" t="str">
        <f t="shared" ca="1" si="27"/>
        <v/>
      </c>
      <c r="BD32" s="14" t="str">
        <f t="shared" ca="1" si="27"/>
        <v/>
      </c>
      <c r="BE32" s="14" t="str">
        <f t="shared" ca="1" si="27"/>
        <v/>
      </c>
      <c r="BF32" s="14" t="str">
        <f t="shared" ca="1" si="27"/>
        <v/>
      </c>
      <c r="BG32" s="14" t="str">
        <f t="shared" ca="1" si="27"/>
        <v/>
      </c>
      <c r="BH32" s="14" t="str">
        <f t="shared" ca="1" si="27"/>
        <v/>
      </c>
      <c r="BI32" s="14" t="str">
        <f t="shared" ca="1" si="27"/>
        <v/>
      </c>
      <c r="BJ32" s="14" t="str">
        <f t="shared" ca="1" si="27"/>
        <v/>
      </c>
      <c r="BK32" s="14" t="str">
        <f t="shared" ca="1" si="27"/>
        <v/>
      </c>
      <c r="BL32" s="14" t="str">
        <f t="shared" ca="1" si="27"/>
        <v/>
      </c>
    </row>
    <row r="33" spans="1:65" s="1" customFormat="1" ht="40" customHeight="1" x14ac:dyDescent="0.2">
      <c r="A33" s="6"/>
      <c r="B33" s="60" t="s">
        <v>25</v>
      </c>
      <c r="C33" s="17" t="s">
        <v>7</v>
      </c>
      <c r="D33" s="17"/>
      <c r="E33" s="18"/>
      <c r="F33" s="19">
        <f ca="1">F32+3</f>
        <v>46082</v>
      </c>
      <c r="G33" s="20">
        <v>14</v>
      </c>
      <c r="H33" s="17"/>
      <c r="I33" s="14" t="str">
        <f t="shared" ref="I33:AN33" ca="1" si="28">IF(AND($C29="Goal",I$7&gt;=$F29,I$7&lt;=$F29+$G29-1),2,IF(AND($C29="Milestone",I$7&gt;=$F29,I$7&lt;=$F29+$G29-1),1,""))</f>
        <v/>
      </c>
      <c r="J33" s="14" t="str">
        <f t="shared" ca="1" si="28"/>
        <v/>
      </c>
      <c r="K33" s="14" t="str">
        <f t="shared" ca="1" si="28"/>
        <v/>
      </c>
      <c r="L33" s="14" t="str">
        <f t="shared" ca="1" si="28"/>
        <v/>
      </c>
      <c r="M33" s="14" t="str">
        <f t="shared" ca="1" si="28"/>
        <v/>
      </c>
      <c r="N33" s="14" t="str">
        <f t="shared" ca="1" si="28"/>
        <v/>
      </c>
      <c r="O33" s="14" t="str">
        <f t="shared" ca="1" si="28"/>
        <v/>
      </c>
      <c r="P33" s="14" t="str">
        <f t="shared" ca="1" si="28"/>
        <v/>
      </c>
      <c r="Q33" s="14" t="str">
        <f t="shared" ca="1" si="28"/>
        <v/>
      </c>
      <c r="R33" s="14" t="str">
        <f t="shared" ca="1" si="28"/>
        <v/>
      </c>
      <c r="S33" s="14" t="str">
        <f t="shared" ca="1" si="28"/>
        <v/>
      </c>
      <c r="T33" s="14" t="str">
        <f t="shared" ca="1" si="28"/>
        <v/>
      </c>
      <c r="U33" s="14" t="str">
        <f t="shared" ca="1" si="28"/>
        <v/>
      </c>
      <c r="V33" s="14" t="str">
        <f t="shared" ca="1" si="28"/>
        <v/>
      </c>
      <c r="W33" s="14" t="str">
        <f t="shared" ca="1" si="28"/>
        <v/>
      </c>
      <c r="X33" s="14">
        <f t="shared" ca="1" si="28"/>
        <v>1</v>
      </c>
      <c r="Y33" s="14" t="str">
        <f t="shared" ca="1" si="28"/>
        <v/>
      </c>
      <c r="Z33" s="14" t="str">
        <f t="shared" ca="1" si="28"/>
        <v/>
      </c>
      <c r="AA33" s="14" t="str">
        <f t="shared" ca="1" si="28"/>
        <v/>
      </c>
      <c r="AB33" s="14" t="str">
        <f t="shared" ca="1" si="28"/>
        <v/>
      </c>
      <c r="AC33" s="14" t="str">
        <f t="shared" ca="1" si="28"/>
        <v/>
      </c>
      <c r="AD33" s="14" t="str">
        <f t="shared" ca="1" si="28"/>
        <v/>
      </c>
      <c r="AE33" s="14" t="str">
        <f t="shared" ca="1" si="28"/>
        <v/>
      </c>
      <c r="AF33" s="14" t="str">
        <f t="shared" ca="1" si="28"/>
        <v/>
      </c>
      <c r="AG33" s="14" t="str">
        <f t="shared" ca="1" si="28"/>
        <v/>
      </c>
      <c r="AH33" s="14" t="str">
        <f t="shared" ca="1" si="28"/>
        <v/>
      </c>
      <c r="AI33" s="14" t="str">
        <f t="shared" ca="1" si="28"/>
        <v/>
      </c>
      <c r="AJ33" s="14" t="str">
        <f t="shared" ca="1" si="28"/>
        <v/>
      </c>
      <c r="AK33" s="14" t="str">
        <f t="shared" ca="1" si="28"/>
        <v/>
      </c>
      <c r="AL33" s="14" t="str">
        <f t="shared" ca="1" si="28"/>
        <v/>
      </c>
      <c r="AM33" s="14" t="str">
        <f t="shared" ca="1" si="28"/>
        <v/>
      </c>
      <c r="AN33" s="14" t="str">
        <f t="shared" ca="1" si="28"/>
        <v/>
      </c>
      <c r="AO33" s="14" t="str">
        <f t="shared" ref="AO33:BL33" ca="1" si="29">IF(AND($C29="Goal",AO$7&gt;=$F29,AO$7&lt;=$F29+$G29-1),2,IF(AND($C29="Milestone",AO$7&gt;=$F29,AO$7&lt;=$F29+$G29-1),1,""))</f>
        <v/>
      </c>
      <c r="AP33" s="14" t="str">
        <f t="shared" ca="1" si="29"/>
        <v/>
      </c>
      <c r="AQ33" s="14" t="str">
        <f t="shared" ca="1" si="29"/>
        <v/>
      </c>
      <c r="AR33" s="14" t="str">
        <f t="shared" ca="1" si="29"/>
        <v/>
      </c>
      <c r="AS33" s="14" t="str">
        <f t="shared" ca="1" si="29"/>
        <v/>
      </c>
      <c r="AT33" s="14" t="str">
        <f t="shared" ca="1" si="29"/>
        <v/>
      </c>
      <c r="AU33" s="14" t="str">
        <f t="shared" ca="1" si="29"/>
        <v/>
      </c>
      <c r="AV33" s="14" t="str">
        <f t="shared" ca="1" si="29"/>
        <v/>
      </c>
      <c r="AW33" s="14" t="str">
        <f t="shared" ca="1" si="29"/>
        <v/>
      </c>
      <c r="AX33" s="14" t="str">
        <f t="shared" ca="1" si="29"/>
        <v/>
      </c>
      <c r="AY33" s="14" t="str">
        <f t="shared" ca="1" si="29"/>
        <v/>
      </c>
      <c r="AZ33" s="14" t="str">
        <f t="shared" ca="1" si="29"/>
        <v/>
      </c>
      <c r="BA33" s="14" t="str">
        <f t="shared" ca="1" si="29"/>
        <v/>
      </c>
      <c r="BB33" s="14" t="str">
        <f t="shared" ca="1" si="29"/>
        <v/>
      </c>
      <c r="BC33" s="14" t="str">
        <f t="shared" ca="1" si="29"/>
        <v/>
      </c>
      <c r="BD33" s="14" t="str">
        <f t="shared" ca="1" si="29"/>
        <v/>
      </c>
      <c r="BE33" s="14" t="str">
        <f t="shared" ca="1" si="29"/>
        <v/>
      </c>
      <c r="BF33" s="14" t="str">
        <f t="shared" ca="1" si="29"/>
        <v/>
      </c>
      <c r="BG33" s="14" t="str">
        <f t="shared" ca="1" si="29"/>
        <v/>
      </c>
      <c r="BH33" s="14" t="str">
        <f t="shared" ca="1" si="29"/>
        <v/>
      </c>
      <c r="BI33" s="14" t="str">
        <f t="shared" ca="1" si="29"/>
        <v/>
      </c>
      <c r="BJ33" s="14" t="str">
        <f t="shared" ca="1" si="29"/>
        <v/>
      </c>
      <c r="BK33" s="14" t="str">
        <f t="shared" ca="1" si="29"/>
        <v/>
      </c>
      <c r="BL33" s="14" t="str">
        <f t="shared" ca="1" si="29"/>
        <v/>
      </c>
    </row>
    <row r="34" spans="1:65" s="1" customFormat="1" ht="40" customHeight="1" x14ac:dyDescent="0.2">
      <c r="A34" s="6"/>
      <c r="B34" s="60" t="s">
        <v>26</v>
      </c>
      <c r="C34" s="17" t="s">
        <v>10</v>
      </c>
      <c r="D34" s="17"/>
      <c r="E34" s="18"/>
      <c r="F34" s="19">
        <f ca="1">F33+15</f>
        <v>46097</v>
      </c>
      <c r="G34" s="20">
        <v>6</v>
      </c>
      <c r="H34" s="17"/>
      <c r="I34" s="14" t="str">
        <f t="shared" ref="I34:AN34" ca="1" si="30">IF(AND($C30="Goal",I$7&gt;=$F30,I$7&lt;=$F30+$G30-1),2,IF(AND($C30="Milestone",I$7&gt;=$F30,I$7&lt;=$F30+$G30-1),1,""))</f>
        <v/>
      </c>
      <c r="J34" s="14" t="str">
        <f t="shared" ca="1" si="30"/>
        <v/>
      </c>
      <c r="K34" s="14" t="str">
        <f t="shared" ca="1" si="30"/>
        <v/>
      </c>
      <c r="L34" s="14" t="str">
        <f t="shared" ca="1" si="30"/>
        <v/>
      </c>
      <c r="M34" s="14" t="str">
        <f t="shared" ca="1" si="30"/>
        <v/>
      </c>
      <c r="N34" s="14" t="str">
        <f t="shared" ca="1" si="30"/>
        <v/>
      </c>
      <c r="O34" s="14" t="str">
        <f t="shared" ca="1" si="30"/>
        <v/>
      </c>
      <c r="P34" s="14" t="str">
        <f t="shared" ca="1" si="30"/>
        <v/>
      </c>
      <c r="Q34" s="14" t="str">
        <f t="shared" ca="1" si="30"/>
        <v/>
      </c>
      <c r="R34" s="14" t="str">
        <f t="shared" ca="1" si="30"/>
        <v/>
      </c>
      <c r="S34" s="14" t="str">
        <f t="shared" ca="1" si="30"/>
        <v/>
      </c>
      <c r="T34" s="14" t="str">
        <f t="shared" ca="1" si="30"/>
        <v/>
      </c>
      <c r="U34" s="14" t="str">
        <f t="shared" ca="1" si="30"/>
        <v/>
      </c>
      <c r="V34" s="14" t="str">
        <f t="shared" ca="1" si="30"/>
        <v/>
      </c>
      <c r="W34" s="14" t="str">
        <f t="shared" ca="1" si="30"/>
        <v/>
      </c>
      <c r="X34" s="14" t="str">
        <f t="shared" ca="1" si="30"/>
        <v/>
      </c>
      <c r="Y34" s="14" t="str">
        <f t="shared" ca="1" si="30"/>
        <v/>
      </c>
      <c r="Z34" s="14" t="str">
        <f t="shared" ca="1" si="30"/>
        <v/>
      </c>
      <c r="AA34" s="14" t="str">
        <f t="shared" ca="1" si="30"/>
        <v/>
      </c>
      <c r="AB34" s="14" t="str">
        <f t="shared" ca="1" si="30"/>
        <v/>
      </c>
      <c r="AC34" s="14" t="str">
        <f t="shared" ca="1" si="30"/>
        <v/>
      </c>
      <c r="AD34" s="14" t="str">
        <f t="shared" ca="1" si="30"/>
        <v/>
      </c>
      <c r="AE34" s="14" t="str">
        <f t="shared" ca="1" si="30"/>
        <v/>
      </c>
      <c r="AF34" s="14" t="str">
        <f t="shared" ca="1" si="30"/>
        <v/>
      </c>
      <c r="AG34" s="14" t="str">
        <f t="shared" ca="1" si="30"/>
        <v/>
      </c>
      <c r="AH34" s="14" t="str">
        <f t="shared" ca="1" si="30"/>
        <v/>
      </c>
      <c r="AI34" s="14" t="str">
        <f t="shared" ca="1" si="30"/>
        <v/>
      </c>
      <c r="AJ34" s="14" t="str">
        <f t="shared" ca="1" si="30"/>
        <v/>
      </c>
      <c r="AK34" s="14" t="str">
        <f t="shared" ca="1" si="30"/>
        <v/>
      </c>
      <c r="AL34" s="14" t="str">
        <f t="shared" ca="1" si="30"/>
        <v/>
      </c>
      <c r="AM34" s="14" t="str">
        <f t="shared" ca="1" si="30"/>
        <v/>
      </c>
      <c r="AN34" s="14" t="str">
        <f t="shared" ca="1" si="30"/>
        <v/>
      </c>
      <c r="AO34" s="14" t="str">
        <f t="shared" ref="AO34:BL34" ca="1" si="31">IF(AND($C30="Goal",AO$7&gt;=$F30,AO$7&lt;=$F30+$G30-1),2,IF(AND($C30="Milestone",AO$7&gt;=$F30,AO$7&lt;=$F30+$G30-1),1,""))</f>
        <v/>
      </c>
      <c r="AP34" s="14" t="str">
        <f t="shared" ca="1" si="31"/>
        <v/>
      </c>
      <c r="AQ34" s="14" t="str">
        <f t="shared" ca="1" si="31"/>
        <v/>
      </c>
      <c r="AR34" s="14" t="str">
        <f t="shared" ca="1" si="31"/>
        <v/>
      </c>
      <c r="AS34" s="14" t="str">
        <f t="shared" ca="1" si="31"/>
        <v/>
      </c>
      <c r="AT34" s="14" t="str">
        <f t="shared" ca="1" si="31"/>
        <v/>
      </c>
      <c r="AU34" s="14" t="str">
        <f t="shared" ca="1" si="31"/>
        <v/>
      </c>
      <c r="AV34" s="14" t="str">
        <f t="shared" ca="1" si="31"/>
        <v/>
      </c>
      <c r="AW34" s="14" t="str">
        <f t="shared" ca="1" si="31"/>
        <v/>
      </c>
      <c r="AX34" s="14" t="str">
        <f t="shared" ca="1" si="31"/>
        <v/>
      </c>
      <c r="AY34" s="14" t="str">
        <f t="shared" ca="1" si="31"/>
        <v/>
      </c>
      <c r="AZ34" s="14" t="str">
        <f t="shared" ca="1" si="31"/>
        <v/>
      </c>
      <c r="BA34" s="14" t="str">
        <f t="shared" ca="1" si="31"/>
        <v/>
      </c>
      <c r="BB34" s="14" t="str">
        <f t="shared" ca="1" si="31"/>
        <v/>
      </c>
      <c r="BC34" s="14" t="str">
        <f t="shared" ca="1" si="31"/>
        <v/>
      </c>
      <c r="BD34" s="14" t="str">
        <f t="shared" ca="1" si="31"/>
        <v/>
      </c>
      <c r="BE34" s="14" t="str">
        <f t="shared" ca="1" si="31"/>
        <v/>
      </c>
      <c r="BF34" s="14" t="str">
        <f t="shared" ca="1" si="31"/>
        <v/>
      </c>
      <c r="BG34" s="14" t="str">
        <f t="shared" ca="1" si="31"/>
        <v/>
      </c>
      <c r="BH34" s="14" t="str">
        <f t="shared" ca="1" si="31"/>
        <v/>
      </c>
      <c r="BI34" s="14" t="str">
        <f t="shared" ca="1" si="31"/>
        <v/>
      </c>
      <c r="BJ34" s="14" t="str">
        <f t="shared" ca="1" si="31"/>
        <v/>
      </c>
      <c r="BK34" s="14" t="str">
        <f t="shared" ca="1" si="31"/>
        <v/>
      </c>
      <c r="BL34" s="14" t="str">
        <f t="shared" ca="1" si="31"/>
        <v/>
      </c>
    </row>
    <row r="35" spans="1:65" s="1" customFormat="1" ht="40" customHeight="1" x14ac:dyDescent="0.2">
      <c r="A35" s="6"/>
      <c r="B35" s="60" t="s">
        <v>27</v>
      </c>
      <c r="C35" s="17" t="s">
        <v>3</v>
      </c>
      <c r="D35" s="17"/>
      <c r="E35" s="18"/>
      <c r="F35" s="19">
        <f ca="1">F29+22</f>
        <v>46101</v>
      </c>
      <c r="G35" s="20">
        <v>3</v>
      </c>
      <c r="H35" s="17"/>
      <c r="I35" s="14" t="str">
        <f t="shared" ref="I35:AN35" ca="1" si="32">IF(AND($C31="Goal",I$7&gt;=$F31,I$7&lt;=$F31+$G31-1),2,IF(AND($C31="Milestone",I$7&gt;=$F31,I$7&lt;=$F31+$G31-1),1,""))</f>
        <v/>
      </c>
      <c r="J35" s="14" t="str">
        <f t="shared" ca="1" si="32"/>
        <v/>
      </c>
      <c r="K35" s="14" t="str">
        <f t="shared" ca="1" si="32"/>
        <v/>
      </c>
      <c r="L35" s="14" t="str">
        <f t="shared" ca="1" si="32"/>
        <v/>
      </c>
      <c r="M35" s="14" t="str">
        <f t="shared" ca="1" si="32"/>
        <v/>
      </c>
      <c r="N35" s="14" t="str">
        <f t="shared" ca="1" si="32"/>
        <v/>
      </c>
      <c r="O35" s="14" t="str">
        <f t="shared" ca="1" si="32"/>
        <v/>
      </c>
      <c r="P35" s="14" t="str">
        <f t="shared" ca="1" si="32"/>
        <v/>
      </c>
      <c r="Q35" s="14" t="str">
        <f t="shared" ca="1" si="32"/>
        <v/>
      </c>
      <c r="R35" s="14" t="str">
        <f t="shared" ca="1" si="32"/>
        <v/>
      </c>
      <c r="S35" s="14" t="str">
        <f t="shared" ca="1" si="32"/>
        <v/>
      </c>
      <c r="T35" s="14" t="str">
        <f t="shared" ca="1" si="32"/>
        <v/>
      </c>
      <c r="U35" s="14" t="str">
        <f t="shared" ca="1" si="32"/>
        <v/>
      </c>
      <c r="V35" s="14" t="str">
        <f t="shared" ca="1" si="32"/>
        <v/>
      </c>
      <c r="W35" s="14" t="str">
        <f t="shared" ca="1" si="32"/>
        <v/>
      </c>
      <c r="X35" s="14" t="str">
        <f t="shared" ca="1" si="32"/>
        <v/>
      </c>
      <c r="Y35" s="14" t="str">
        <f t="shared" ca="1" si="32"/>
        <v/>
      </c>
      <c r="Z35" s="14" t="str">
        <f t="shared" ca="1" si="32"/>
        <v/>
      </c>
      <c r="AA35" s="14" t="str">
        <f t="shared" ca="1" si="32"/>
        <v/>
      </c>
      <c r="AB35" s="14" t="str">
        <f t="shared" ca="1" si="32"/>
        <v/>
      </c>
      <c r="AC35" s="14" t="str">
        <f t="shared" ca="1" si="32"/>
        <v/>
      </c>
      <c r="AD35" s="14" t="str">
        <f t="shared" ca="1" si="32"/>
        <v/>
      </c>
      <c r="AE35" s="14" t="str">
        <f t="shared" ca="1" si="32"/>
        <v/>
      </c>
      <c r="AF35" s="14" t="str">
        <f t="shared" ca="1" si="32"/>
        <v/>
      </c>
      <c r="AG35" s="14" t="str">
        <f t="shared" ca="1" si="32"/>
        <v/>
      </c>
      <c r="AH35" s="14" t="str">
        <f t="shared" ca="1" si="32"/>
        <v/>
      </c>
      <c r="AI35" s="14" t="str">
        <f t="shared" ca="1" si="32"/>
        <v/>
      </c>
      <c r="AJ35" s="14" t="str">
        <f t="shared" ca="1" si="32"/>
        <v/>
      </c>
      <c r="AK35" s="14" t="str">
        <f t="shared" ca="1" si="32"/>
        <v/>
      </c>
      <c r="AL35" s="14" t="str">
        <f t="shared" ca="1" si="32"/>
        <v/>
      </c>
      <c r="AM35" s="14" t="str">
        <f t="shared" ca="1" si="32"/>
        <v/>
      </c>
      <c r="AN35" s="14" t="str">
        <f t="shared" ca="1" si="32"/>
        <v/>
      </c>
      <c r="AO35" s="14" t="str">
        <f t="shared" ref="AO35:BL35" ca="1" si="33">IF(AND($C31="Goal",AO$7&gt;=$F31,AO$7&lt;=$F31+$G31-1),2,IF(AND($C31="Milestone",AO$7&gt;=$F31,AO$7&lt;=$F31+$G31-1),1,""))</f>
        <v/>
      </c>
      <c r="AP35" s="14" t="str">
        <f t="shared" ca="1" si="33"/>
        <v/>
      </c>
      <c r="AQ35" s="14" t="str">
        <f t="shared" ca="1" si="33"/>
        <v/>
      </c>
      <c r="AR35" s="14" t="str">
        <f t="shared" ca="1" si="33"/>
        <v/>
      </c>
      <c r="AS35" s="14" t="str">
        <f t="shared" ca="1" si="33"/>
        <v/>
      </c>
      <c r="AT35" s="14" t="str">
        <f t="shared" ca="1" si="33"/>
        <v/>
      </c>
      <c r="AU35" s="14" t="str">
        <f t="shared" ca="1" si="33"/>
        <v/>
      </c>
      <c r="AV35" s="14" t="str">
        <f t="shared" ca="1" si="33"/>
        <v/>
      </c>
      <c r="AW35" s="14" t="str">
        <f t="shared" ca="1" si="33"/>
        <v/>
      </c>
      <c r="AX35" s="14" t="str">
        <f t="shared" ca="1" si="33"/>
        <v/>
      </c>
      <c r="AY35" s="14" t="str">
        <f t="shared" ca="1" si="33"/>
        <v/>
      </c>
      <c r="AZ35" s="14" t="str">
        <f t="shared" ca="1" si="33"/>
        <v/>
      </c>
      <c r="BA35" s="14" t="str">
        <f t="shared" ca="1" si="33"/>
        <v/>
      </c>
      <c r="BB35" s="14" t="str">
        <f t="shared" ca="1" si="33"/>
        <v/>
      </c>
      <c r="BC35" s="14" t="str">
        <f t="shared" ca="1" si="33"/>
        <v/>
      </c>
      <c r="BD35" s="14" t="str">
        <f t="shared" ca="1" si="33"/>
        <v/>
      </c>
      <c r="BE35" s="14" t="str">
        <f t="shared" ca="1" si="33"/>
        <v/>
      </c>
      <c r="BF35" s="14" t="str">
        <f t="shared" ca="1" si="33"/>
        <v/>
      </c>
      <c r="BG35" s="14" t="str">
        <f t="shared" ca="1" si="33"/>
        <v/>
      </c>
      <c r="BH35" s="14" t="str">
        <f t="shared" ca="1" si="33"/>
        <v/>
      </c>
      <c r="BI35" s="14" t="str">
        <f t="shared" ca="1" si="33"/>
        <v/>
      </c>
      <c r="BJ35" s="14" t="str">
        <f t="shared" ca="1" si="33"/>
        <v/>
      </c>
      <c r="BK35" s="14" t="str">
        <f t="shared" ca="1" si="33"/>
        <v/>
      </c>
      <c r="BL35" s="14" t="str">
        <f t="shared" ca="1" si="33"/>
        <v/>
      </c>
    </row>
    <row r="36" spans="1:65" s="1" customFormat="1" ht="40" customHeight="1" x14ac:dyDescent="0.2">
      <c r="A36" s="6"/>
      <c r="B36" s="60" t="s">
        <v>28</v>
      </c>
      <c r="C36" s="17" t="s">
        <v>8</v>
      </c>
      <c r="D36" s="17"/>
      <c r="E36" s="18"/>
      <c r="F36" s="19" t="e">
        <f>#REF!</f>
        <v>#REF!</v>
      </c>
      <c r="G36" s="20">
        <v>19</v>
      </c>
      <c r="H36" s="17"/>
      <c r="I36" s="14" t="str">
        <f t="shared" ref="I36:AN36" ca="1" si="34">IF(AND($C32="Goal",I$7&gt;=$F32,I$7&lt;=$F32+$G32-1),2,IF(AND($C32="Milestone",I$7&gt;=$F32,I$7&lt;=$F32+$G32-1),1,""))</f>
        <v/>
      </c>
      <c r="J36" s="14" t="str">
        <f t="shared" ca="1" si="34"/>
        <v/>
      </c>
      <c r="K36" s="14" t="str">
        <f t="shared" ca="1" si="34"/>
        <v/>
      </c>
      <c r="L36" s="14" t="str">
        <f t="shared" ca="1" si="34"/>
        <v/>
      </c>
      <c r="M36" s="14" t="str">
        <f t="shared" ca="1" si="34"/>
        <v/>
      </c>
      <c r="N36" s="14" t="str">
        <f t="shared" ca="1" si="34"/>
        <v/>
      </c>
      <c r="O36" s="14" t="str">
        <f t="shared" ca="1" si="34"/>
        <v/>
      </c>
      <c r="P36" s="14" t="str">
        <f t="shared" ca="1" si="34"/>
        <v/>
      </c>
      <c r="Q36" s="14" t="str">
        <f t="shared" ca="1" si="34"/>
        <v/>
      </c>
      <c r="R36" s="14" t="str">
        <f t="shared" ca="1" si="34"/>
        <v/>
      </c>
      <c r="S36" s="14" t="str">
        <f t="shared" ca="1" si="34"/>
        <v/>
      </c>
      <c r="T36" s="14" t="str">
        <f t="shared" ca="1" si="34"/>
        <v/>
      </c>
      <c r="U36" s="14" t="str">
        <f t="shared" ca="1" si="34"/>
        <v/>
      </c>
      <c r="V36" s="14" t="str">
        <f t="shared" ca="1" si="34"/>
        <v/>
      </c>
      <c r="W36" s="14" t="str">
        <f t="shared" ca="1" si="34"/>
        <v/>
      </c>
      <c r="X36" s="14" t="str">
        <f t="shared" ca="1" si="34"/>
        <v/>
      </c>
      <c r="Y36" s="14" t="str">
        <f t="shared" ca="1" si="34"/>
        <v/>
      </c>
      <c r="Z36" s="14" t="str">
        <f t="shared" ca="1" si="34"/>
        <v/>
      </c>
      <c r="AA36" s="14" t="str">
        <f t="shared" ca="1" si="34"/>
        <v/>
      </c>
      <c r="AB36" s="14" t="str">
        <f t="shared" ca="1" si="34"/>
        <v/>
      </c>
      <c r="AC36" s="14" t="str">
        <f t="shared" ca="1" si="34"/>
        <v/>
      </c>
      <c r="AD36" s="14" t="str">
        <f t="shared" ca="1" si="34"/>
        <v/>
      </c>
      <c r="AE36" s="14" t="str">
        <f t="shared" ca="1" si="34"/>
        <v/>
      </c>
      <c r="AF36" s="14" t="str">
        <f t="shared" ca="1" si="34"/>
        <v/>
      </c>
      <c r="AG36" s="14" t="str">
        <f t="shared" ca="1" si="34"/>
        <v/>
      </c>
      <c r="AH36" s="14" t="str">
        <f t="shared" ca="1" si="34"/>
        <v/>
      </c>
      <c r="AI36" s="14" t="str">
        <f t="shared" ca="1" si="34"/>
        <v/>
      </c>
      <c r="AJ36" s="14" t="str">
        <f t="shared" ca="1" si="34"/>
        <v/>
      </c>
      <c r="AK36" s="14" t="str">
        <f t="shared" ca="1" si="34"/>
        <v/>
      </c>
      <c r="AL36" s="14" t="str">
        <f t="shared" ca="1" si="34"/>
        <v/>
      </c>
      <c r="AM36" s="14" t="str">
        <f t="shared" ca="1" si="34"/>
        <v/>
      </c>
      <c r="AN36" s="14" t="str">
        <f t="shared" ca="1" si="34"/>
        <v/>
      </c>
      <c r="AO36" s="14" t="str">
        <f t="shared" ref="AO36:BL36" ca="1" si="35">IF(AND($C32="Goal",AO$7&gt;=$F32,AO$7&lt;=$F32+$G32-1),2,IF(AND($C32="Milestone",AO$7&gt;=$F32,AO$7&lt;=$F32+$G32-1),1,""))</f>
        <v/>
      </c>
      <c r="AP36" s="14" t="str">
        <f t="shared" ca="1" si="35"/>
        <v/>
      </c>
      <c r="AQ36" s="14" t="str">
        <f t="shared" ca="1" si="35"/>
        <v/>
      </c>
      <c r="AR36" s="14" t="str">
        <f t="shared" ca="1" si="35"/>
        <v/>
      </c>
      <c r="AS36" s="14" t="str">
        <f t="shared" ca="1" si="35"/>
        <v/>
      </c>
      <c r="AT36" s="14" t="str">
        <f t="shared" ca="1" si="35"/>
        <v/>
      </c>
      <c r="AU36" s="14" t="str">
        <f t="shared" ca="1" si="35"/>
        <v/>
      </c>
      <c r="AV36" s="14" t="str">
        <f t="shared" ca="1" si="35"/>
        <v/>
      </c>
      <c r="AW36" s="14" t="str">
        <f t="shared" ca="1" si="35"/>
        <v/>
      </c>
      <c r="AX36" s="14" t="str">
        <f t="shared" ca="1" si="35"/>
        <v/>
      </c>
      <c r="AY36" s="14" t="str">
        <f t="shared" ca="1" si="35"/>
        <v/>
      </c>
      <c r="AZ36" s="14" t="str">
        <f t="shared" ca="1" si="35"/>
        <v/>
      </c>
      <c r="BA36" s="14" t="str">
        <f t="shared" ca="1" si="35"/>
        <v/>
      </c>
      <c r="BB36" s="14" t="str">
        <f t="shared" ca="1" si="35"/>
        <v/>
      </c>
      <c r="BC36" s="14" t="str">
        <f t="shared" ca="1" si="35"/>
        <v/>
      </c>
      <c r="BD36" s="14" t="str">
        <f t="shared" ca="1" si="35"/>
        <v/>
      </c>
      <c r="BE36" s="14" t="str">
        <f t="shared" ca="1" si="35"/>
        <v/>
      </c>
      <c r="BF36" s="14" t="str">
        <f t="shared" ca="1" si="35"/>
        <v/>
      </c>
      <c r="BG36" s="14" t="str">
        <f t="shared" ca="1" si="35"/>
        <v/>
      </c>
      <c r="BH36" s="14" t="str">
        <f t="shared" ca="1" si="35"/>
        <v/>
      </c>
      <c r="BI36" s="14" t="str">
        <f t="shared" ca="1" si="35"/>
        <v/>
      </c>
      <c r="BJ36" s="14" t="str">
        <f t="shared" ca="1" si="35"/>
        <v/>
      </c>
      <c r="BK36" s="14" t="str">
        <f t="shared" ca="1" si="35"/>
        <v/>
      </c>
      <c r="BL36" s="14" t="str">
        <f t="shared" ca="1" si="35"/>
        <v/>
      </c>
    </row>
    <row r="37" spans="1:65" s="1" customFormat="1" ht="40" customHeight="1" x14ac:dyDescent="0.2">
      <c r="A37" s="6"/>
      <c r="B37" s="63" t="s">
        <v>36</v>
      </c>
      <c r="C37" s="17"/>
      <c r="D37" s="17"/>
      <c r="E37" s="18"/>
      <c r="F37" s="19"/>
      <c r="G37" s="20"/>
      <c r="H37" s="17"/>
      <c r="I37" s="14" t="str">
        <f t="shared" ref="I37:AN37" ca="1" si="36">IF(AND($C33="Goal",I$7&gt;=$F33,I$7&lt;=$F33+$G33-1),2,IF(AND($C33="Milestone",I$7&gt;=$F33,I$7&lt;=$F33+$G33-1),1,""))</f>
        <v/>
      </c>
      <c r="J37" s="14" t="str">
        <f t="shared" ca="1" si="36"/>
        <v/>
      </c>
      <c r="K37" s="14" t="str">
        <f t="shared" ca="1" si="36"/>
        <v/>
      </c>
      <c r="L37" s="14" t="str">
        <f t="shared" ca="1" si="36"/>
        <v/>
      </c>
      <c r="M37" s="14" t="str">
        <f t="shared" ca="1" si="36"/>
        <v/>
      </c>
      <c r="N37" s="14" t="str">
        <f t="shared" ca="1" si="36"/>
        <v/>
      </c>
      <c r="O37" s="14" t="str">
        <f t="shared" ca="1" si="36"/>
        <v/>
      </c>
      <c r="P37" s="14" t="str">
        <f t="shared" ca="1" si="36"/>
        <v/>
      </c>
      <c r="Q37" s="14" t="str">
        <f t="shared" ca="1" si="36"/>
        <v/>
      </c>
      <c r="R37" s="14" t="str">
        <f t="shared" ca="1" si="36"/>
        <v/>
      </c>
      <c r="S37" s="14" t="str">
        <f t="shared" ca="1" si="36"/>
        <v/>
      </c>
      <c r="T37" s="14" t="str">
        <f t="shared" ca="1" si="36"/>
        <v/>
      </c>
      <c r="U37" s="14" t="str">
        <f t="shared" ca="1" si="36"/>
        <v/>
      </c>
      <c r="V37" s="14" t="str">
        <f t="shared" ca="1" si="36"/>
        <v/>
      </c>
      <c r="W37" s="14" t="str">
        <f t="shared" ca="1" si="36"/>
        <v/>
      </c>
      <c r="X37" s="14" t="str">
        <f t="shared" ca="1" si="36"/>
        <v/>
      </c>
      <c r="Y37" s="14" t="str">
        <f t="shared" ca="1" si="36"/>
        <v/>
      </c>
      <c r="Z37" s="14" t="str">
        <f t="shared" ca="1" si="36"/>
        <v/>
      </c>
      <c r="AA37" s="14" t="str">
        <f t="shared" ca="1" si="36"/>
        <v/>
      </c>
      <c r="AB37" s="14" t="str">
        <f t="shared" ca="1" si="36"/>
        <v/>
      </c>
      <c r="AC37" s="14" t="str">
        <f t="shared" ca="1" si="36"/>
        <v/>
      </c>
      <c r="AD37" s="14" t="str">
        <f t="shared" ca="1" si="36"/>
        <v/>
      </c>
      <c r="AE37" s="14" t="str">
        <f t="shared" ca="1" si="36"/>
        <v/>
      </c>
      <c r="AF37" s="14" t="str">
        <f t="shared" ca="1" si="36"/>
        <v/>
      </c>
      <c r="AG37" s="14" t="str">
        <f t="shared" ca="1" si="36"/>
        <v/>
      </c>
      <c r="AH37" s="14" t="str">
        <f t="shared" ca="1" si="36"/>
        <v/>
      </c>
      <c r="AI37" s="14" t="str">
        <f t="shared" ca="1" si="36"/>
        <v/>
      </c>
      <c r="AJ37" s="14" t="str">
        <f t="shared" ca="1" si="36"/>
        <v/>
      </c>
      <c r="AK37" s="14" t="str">
        <f t="shared" ca="1" si="36"/>
        <v/>
      </c>
      <c r="AL37" s="14" t="str">
        <f t="shared" ca="1" si="36"/>
        <v/>
      </c>
      <c r="AM37" s="14" t="str">
        <f t="shared" ca="1" si="36"/>
        <v/>
      </c>
      <c r="AN37" s="14" t="str">
        <f t="shared" ca="1" si="36"/>
        <v/>
      </c>
      <c r="AO37" s="14" t="str">
        <f t="shared" ref="AO37:BL37" ca="1" si="37">IF(AND($C33="Goal",AO$7&gt;=$F33,AO$7&lt;=$F33+$G33-1),2,IF(AND($C33="Milestone",AO$7&gt;=$F33,AO$7&lt;=$F33+$G33-1),1,""))</f>
        <v/>
      </c>
      <c r="AP37" s="14" t="str">
        <f t="shared" ca="1" si="37"/>
        <v/>
      </c>
      <c r="AQ37" s="14" t="str">
        <f t="shared" ca="1" si="37"/>
        <v/>
      </c>
      <c r="AR37" s="14" t="str">
        <f t="shared" ca="1" si="37"/>
        <v/>
      </c>
      <c r="AS37" s="14" t="str">
        <f t="shared" ca="1" si="37"/>
        <v/>
      </c>
      <c r="AT37" s="14" t="str">
        <f t="shared" ca="1" si="37"/>
        <v/>
      </c>
      <c r="AU37" s="14" t="str">
        <f t="shared" ca="1" si="37"/>
        <v/>
      </c>
      <c r="AV37" s="14" t="str">
        <f t="shared" ca="1" si="37"/>
        <v/>
      </c>
      <c r="AW37" s="14" t="str">
        <f t="shared" ca="1" si="37"/>
        <v/>
      </c>
      <c r="AX37" s="14" t="str">
        <f t="shared" ca="1" si="37"/>
        <v/>
      </c>
      <c r="AY37" s="14" t="str">
        <f t="shared" ca="1" si="37"/>
        <v/>
      </c>
      <c r="AZ37" s="14" t="str">
        <f t="shared" ca="1" si="37"/>
        <v/>
      </c>
      <c r="BA37" s="14" t="str">
        <f t="shared" ca="1" si="37"/>
        <v/>
      </c>
      <c r="BB37" s="14" t="str">
        <f t="shared" ca="1" si="37"/>
        <v/>
      </c>
      <c r="BC37" s="14" t="str">
        <f t="shared" ca="1" si="37"/>
        <v/>
      </c>
      <c r="BD37" s="14" t="str">
        <f t="shared" ca="1" si="37"/>
        <v/>
      </c>
      <c r="BE37" s="14" t="str">
        <f t="shared" ca="1" si="37"/>
        <v/>
      </c>
      <c r="BF37" s="14" t="str">
        <f t="shared" ca="1" si="37"/>
        <v/>
      </c>
      <c r="BG37" s="14" t="str">
        <f t="shared" ca="1" si="37"/>
        <v/>
      </c>
      <c r="BH37" s="14" t="str">
        <f t="shared" ca="1" si="37"/>
        <v/>
      </c>
      <c r="BI37" s="14" t="str">
        <f t="shared" ca="1" si="37"/>
        <v/>
      </c>
      <c r="BJ37" s="14" t="str">
        <f t="shared" ca="1" si="37"/>
        <v/>
      </c>
      <c r="BK37" s="14" t="str">
        <f t="shared" ca="1" si="37"/>
        <v/>
      </c>
      <c r="BL37" s="14" t="str">
        <f t="shared" ca="1" si="37"/>
        <v/>
      </c>
    </row>
    <row r="38" spans="1:65" s="1" customFormat="1" ht="40" customHeight="1" x14ac:dyDescent="0.2">
      <c r="A38" s="6"/>
      <c r="B38" s="60" t="s">
        <v>29</v>
      </c>
      <c r="C38" s="17"/>
      <c r="D38" s="17"/>
      <c r="E38" s="18"/>
      <c r="F38" s="19">
        <f ca="1">F35+3</f>
        <v>46104</v>
      </c>
      <c r="G38" s="20">
        <v>15</v>
      </c>
      <c r="H38" s="17"/>
      <c r="I38" s="14" t="str">
        <f t="shared" ref="I38:AN38" ca="1" si="38">IF(AND($C34="Goal",I$7&gt;=$F34,I$7&lt;=$F34+$G34-1),2,IF(AND($C34="Milestone",I$7&gt;=$F34,I$7&lt;=$F34+$G34-1),1,""))</f>
        <v/>
      </c>
      <c r="J38" s="14" t="str">
        <f t="shared" ca="1" si="38"/>
        <v/>
      </c>
      <c r="K38" s="14" t="str">
        <f t="shared" ca="1" si="38"/>
        <v/>
      </c>
      <c r="L38" s="14" t="str">
        <f t="shared" ca="1" si="38"/>
        <v/>
      </c>
      <c r="M38" s="14" t="str">
        <f t="shared" ca="1" si="38"/>
        <v/>
      </c>
      <c r="N38" s="14" t="str">
        <f t="shared" ca="1" si="38"/>
        <v/>
      </c>
      <c r="O38" s="14" t="str">
        <f t="shared" ca="1" si="38"/>
        <v/>
      </c>
      <c r="P38" s="14" t="str">
        <f t="shared" ca="1" si="38"/>
        <v/>
      </c>
      <c r="Q38" s="14" t="str">
        <f t="shared" ca="1" si="38"/>
        <v/>
      </c>
      <c r="R38" s="14" t="str">
        <f t="shared" ca="1" si="38"/>
        <v/>
      </c>
      <c r="S38" s="14" t="str">
        <f t="shared" ca="1" si="38"/>
        <v/>
      </c>
      <c r="T38" s="14" t="str">
        <f t="shared" ca="1" si="38"/>
        <v/>
      </c>
      <c r="U38" s="14" t="str">
        <f t="shared" ca="1" si="38"/>
        <v/>
      </c>
      <c r="V38" s="14" t="str">
        <f t="shared" ca="1" si="38"/>
        <v/>
      </c>
      <c r="W38" s="14" t="str">
        <f t="shared" ca="1" si="38"/>
        <v/>
      </c>
      <c r="X38" s="14" t="str">
        <f t="shared" ca="1" si="38"/>
        <v/>
      </c>
      <c r="Y38" s="14" t="str">
        <f t="shared" ca="1" si="38"/>
        <v/>
      </c>
      <c r="Z38" s="14" t="str">
        <f t="shared" ca="1" si="38"/>
        <v/>
      </c>
      <c r="AA38" s="14" t="str">
        <f t="shared" ca="1" si="38"/>
        <v/>
      </c>
      <c r="AB38" s="14" t="str">
        <f t="shared" ca="1" si="38"/>
        <v/>
      </c>
      <c r="AC38" s="14" t="str">
        <f t="shared" ca="1" si="38"/>
        <v/>
      </c>
      <c r="AD38" s="14" t="str">
        <f t="shared" ca="1" si="38"/>
        <v/>
      </c>
      <c r="AE38" s="14" t="str">
        <f t="shared" ca="1" si="38"/>
        <v/>
      </c>
      <c r="AF38" s="14" t="str">
        <f t="shared" ca="1" si="38"/>
        <v/>
      </c>
      <c r="AG38" s="14" t="str">
        <f t="shared" ca="1" si="38"/>
        <v/>
      </c>
      <c r="AH38" s="14" t="str">
        <f t="shared" ca="1" si="38"/>
        <v/>
      </c>
      <c r="AI38" s="14" t="str">
        <f t="shared" ca="1" si="38"/>
        <v/>
      </c>
      <c r="AJ38" s="14" t="str">
        <f t="shared" ca="1" si="38"/>
        <v/>
      </c>
      <c r="AK38" s="14" t="str">
        <f t="shared" ca="1" si="38"/>
        <v/>
      </c>
      <c r="AL38" s="14" t="str">
        <f t="shared" ca="1" si="38"/>
        <v/>
      </c>
      <c r="AM38" s="14" t="str">
        <f t="shared" ca="1" si="38"/>
        <v/>
      </c>
      <c r="AN38" s="14" t="str">
        <f t="shared" ca="1" si="38"/>
        <v/>
      </c>
      <c r="AO38" s="14" t="str">
        <f t="shared" ref="AO38:BL38" ca="1" si="39">IF(AND($C34="Goal",AO$7&gt;=$F34,AO$7&lt;=$F34+$G34-1),2,IF(AND($C34="Milestone",AO$7&gt;=$F34,AO$7&lt;=$F34+$G34-1),1,""))</f>
        <v/>
      </c>
      <c r="AP38" s="14" t="str">
        <f t="shared" ca="1" si="39"/>
        <v/>
      </c>
      <c r="AQ38" s="14" t="str">
        <f t="shared" ca="1" si="39"/>
        <v/>
      </c>
      <c r="AR38" s="14" t="str">
        <f t="shared" ca="1" si="39"/>
        <v/>
      </c>
      <c r="AS38" s="14" t="str">
        <f t="shared" ca="1" si="39"/>
        <v/>
      </c>
      <c r="AT38" s="14" t="str">
        <f t="shared" ca="1" si="39"/>
        <v/>
      </c>
      <c r="AU38" s="14" t="str">
        <f t="shared" ca="1" si="39"/>
        <v/>
      </c>
      <c r="AV38" s="14" t="str">
        <f t="shared" ca="1" si="39"/>
        <v/>
      </c>
      <c r="AW38" s="14" t="str">
        <f t="shared" ca="1" si="39"/>
        <v/>
      </c>
      <c r="AX38" s="14" t="str">
        <f t="shared" ca="1" si="39"/>
        <v/>
      </c>
      <c r="AY38" s="14" t="str">
        <f t="shared" ca="1" si="39"/>
        <v/>
      </c>
      <c r="AZ38" s="14" t="str">
        <f t="shared" ca="1" si="39"/>
        <v/>
      </c>
      <c r="BA38" s="14" t="str">
        <f t="shared" ca="1" si="39"/>
        <v/>
      </c>
      <c r="BB38" s="14" t="str">
        <f t="shared" ca="1" si="39"/>
        <v/>
      </c>
      <c r="BC38" s="14" t="str">
        <f t="shared" ca="1" si="39"/>
        <v/>
      </c>
      <c r="BD38" s="14" t="str">
        <f t="shared" ca="1" si="39"/>
        <v/>
      </c>
      <c r="BE38" s="14" t="str">
        <f t="shared" ca="1" si="39"/>
        <v/>
      </c>
      <c r="BF38" s="14" t="str">
        <f t="shared" ca="1" si="39"/>
        <v/>
      </c>
      <c r="BG38" s="14" t="str">
        <f t="shared" ca="1" si="39"/>
        <v/>
      </c>
      <c r="BH38" s="14" t="str">
        <f t="shared" ca="1" si="39"/>
        <v/>
      </c>
      <c r="BI38" s="14" t="str">
        <f t="shared" ca="1" si="39"/>
        <v/>
      </c>
      <c r="BJ38" s="14" t="str">
        <f t="shared" ca="1" si="39"/>
        <v/>
      </c>
      <c r="BK38" s="14" t="str">
        <f t="shared" ca="1" si="39"/>
        <v/>
      </c>
      <c r="BL38" s="14" t="str">
        <f t="shared" ca="1" si="39"/>
        <v/>
      </c>
    </row>
    <row r="39" spans="1:65" s="1" customFormat="1" ht="40" customHeight="1" x14ac:dyDescent="0.2">
      <c r="A39" s="6"/>
      <c r="B39" s="60" t="s">
        <v>30</v>
      </c>
      <c r="C39" s="17"/>
      <c r="D39" s="17"/>
      <c r="E39" s="18"/>
      <c r="F39" s="19">
        <f ca="1">F38+14</f>
        <v>46118</v>
      </c>
      <c r="G39" s="20">
        <v>5</v>
      </c>
      <c r="H39" s="17"/>
      <c r="I39" s="14" t="str">
        <f t="shared" ref="I39:AN39" ca="1" si="40">IF(AND($C35="Goal",I$7&gt;=$F35,I$7&lt;=$F35+$G35-1),2,IF(AND($C35="Milestone",I$7&gt;=$F35,I$7&lt;=$F35+$G35-1),1,""))</f>
        <v/>
      </c>
      <c r="J39" s="14" t="str">
        <f t="shared" ca="1" si="40"/>
        <v/>
      </c>
      <c r="K39" s="14" t="str">
        <f t="shared" ca="1" si="40"/>
        <v/>
      </c>
      <c r="L39" s="14" t="str">
        <f t="shared" ca="1" si="40"/>
        <v/>
      </c>
      <c r="M39" s="14" t="str">
        <f t="shared" ca="1" si="40"/>
        <v/>
      </c>
      <c r="N39" s="14" t="str">
        <f t="shared" ca="1" si="40"/>
        <v/>
      </c>
      <c r="O39" s="14" t="str">
        <f t="shared" ca="1" si="40"/>
        <v/>
      </c>
      <c r="P39" s="14" t="str">
        <f t="shared" ca="1" si="40"/>
        <v/>
      </c>
      <c r="Q39" s="14" t="str">
        <f t="shared" ca="1" si="40"/>
        <v/>
      </c>
      <c r="R39" s="14" t="str">
        <f t="shared" ca="1" si="40"/>
        <v/>
      </c>
      <c r="S39" s="14" t="str">
        <f t="shared" ca="1" si="40"/>
        <v/>
      </c>
      <c r="T39" s="14" t="str">
        <f t="shared" ca="1" si="40"/>
        <v/>
      </c>
      <c r="U39" s="14" t="str">
        <f t="shared" ca="1" si="40"/>
        <v/>
      </c>
      <c r="V39" s="14" t="str">
        <f t="shared" ca="1" si="40"/>
        <v/>
      </c>
      <c r="W39" s="14" t="str">
        <f t="shared" ca="1" si="40"/>
        <v/>
      </c>
      <c r="X39" s="14" t="str">
        <f t="shared" ca="1" si="40"/>
        <v/>
      </c>
      <c r="Y39" s="14" t="str">
        <f t="shared" ca="1" si="40"/>
        <v/>
      </c>
      <c r="Z39" s="14" t="str">
        <f t="shared" ca="1" si="40"/>
        <v/>
      </c>
      <c r="AA39" s="14" t="str">
        <f t="shared" ca="1" si="40"/>
        <v/>
      </c>
      <c r="AB39" s="14" t="str">
        <f t="shared" ca="1" si="40"/>
        <v/>
      </c>
      <c r="AC39" s="14" t="str">
        <f t="shared" ca="1" si="40"/>
        <v/>
      </c>
      <c r="AD39" s="14" t="str">
        <f t="shared" ca="1" si="40"/>
        <v/>
      </c>
      <c r="AE39" s="14" t="str">
        <f t="shared" ca="1" si="40"/>
        <v/>
      </c>
      <c r="AF39" s="14" t="str">
        <f t="shared" ca="1" si="40"/>
        <v/>
      </c>
      <c r="AG39" s="14" t="str">
        <f t="shared" ca="1" si="40"/>
        <v/>
      </c>
      <c r="AH39" s="14" t="str">
        <f t="shared" ca="1" si="40"/>
        <v/>
      </c>
      <c r="AI39" s="14" t="str">
        <f t="shared" ca="1" si="40"/>
        <v/>
      </c>
      <c r="AJ39" s="14" t="str">
        <f t="shared" ca="1" si="40"/>
        <v/>
      </c>
      <c r="AK39" s="14" t="str">
        <f t="shared" ca="1" si="40"/>
        <v/>
      </c>
      <c r="AL39" s="14" t="str">
        <f t="shared" ca="1" si="40"/>
        <v/>
      </c>
      <c r="AM39" s="14" t="str">
        <f t="shared" ca="1" si="40"/>
        <v/>
      </c>
      <c r="AN39" s="14" t="str">
        <f t="shared" ca="1" si="40"/>
        <v/>
      </c>
      <c r="AO39" s="14" t="str">
        <f t="shared" ref="AO39:BL39" ca="1" si="41">IF(AND($C35="Goal",AO$7&gt;=$F35,AO$7&lt;=$F35+$G35-1),2,IF(AND($C35="Milestone",AO$7&gt;=$F35,AO$7&lt;=$F35+$G35-1),1,""))</f>
        <v/>
      </c>
      <c r="AP39" s="14" t="str">
        <f t="shared" ca="1" si="41"/>
        <v/>
      </c>
      <c r="AQ39" s="14" t="str">
        <f t="shared" ca="1" si="41"/>
        <v/>
      </c>
      <c r="AR39" s="14" t="str">
        <f t="shared" ca="1" si="41"/>
        <v/>
      </c>
      <c r="AS39" s="14" t="str">
        <f t="shared" ca="1" si="41"/>
        <v/>
      </c>
      <c r="AT39" s="14">
        <f t="shared" ca="1" si="41"/>
        <v>2</v>
      </c>
      <c r="AU39" s="14">
        <f t="shared" ca="1" si="41"/>
        <v>2</v>
      </c>
      <c r="AV39" s="14">
        <f t="shared" ca="1" si="41"/>
        <v>2</v>
      </c>
      <c r="AW39" s="14" t="str">
        <f t="shared" ca="1" si="41"/>
        <v/>
      </c>
      <c r="AX39" s="14" t="str">
        <f t="shared" ca="1" si="41"/>
        <v/>
      </c>
      <c r="AY39" s="14" t="str">
        <f t="shared" ca="1" si="41"/>
        <v/>
      </c>
      <c r="AZ39" s="14" t="str">
        <f t="shared" ca="1" si="41"/>
        <v/>
      </c>
      <c r="BA39" s="14" t="str">
        <f t="shared" ca="1" si="41"/>
        <v/>
      </c>
      <c r="BB39" s="14" t="str">
        <f t="shared" ca="1" si="41"/>
        <v/>
      </c>
      <c r="BC39" s="14" t="str">
        <f t="shared" ca="1" si="41"/>
        <v/>
      </c>
      <c r="BD39" s="14" t="str">
        <f t="shared" ca="1" si="41"/>
        <v/>
      </c>
      <c r="BE39" s="14" t="str">
        <f t="shared" ca="1" si="41"/>
        <v/>
      </c>
      <c r="BF39" s="14" t="str">
        <f t="shared" ca="1" si="41"/>
        <v/>
      </c>
      <c r="BG39" s="14" t="str">
        <f t="shared" ca="1" si="41"/>
        <v/>
      </c>
      <c r="BH39" s="14" t="str">
        <f t="shared" ca="1" si="41"/>
        <v/>
      </c>
      <c r="BI39" s="14" t="str">
        <f t="shared" ca="1" si="41"/>
        <v/>
      </c>
      <c r="BJ39" s="14" t="str">
        <f t="shared" ca="1" si="41"/>
        <v/>
      </c>
      <c r="BK39" s="14" t="str">
        <f t="shared" ca="1" si="41"/>
        <v/>
      </c>
      <c r="BL39" s="14" t="str">
        <f t="shared" ca="1" si="41"/>
        <v/>
      </c>
    </row>
    <row r="40" spans="1:65" s="1" customFormat="1" ht="40" customHeight="1" x14ac:dyDescent="0.2">
      <c r="A40" s="6"/>
      <c r="B40" s="60" t="s">
        <v>31</v>
      </c>
      <c r="C40" s="17" t="s">
        <v>4</v>
      </c>
      <c r="D40" s="17"/>
      <c r="E40" s="18"/>
      <c r="F40" s="19">
        <f ca="1">F39+42</f>
        <v>46160</v>
      </c>
      <c r="G40" s="20">
        <v>1</v>
      </c>
      <c r="H40" s="17"/>
      <c r="I40" s="14" t="e">
        <f t="shared" ref="I40:AN40" ca="1" si="42">IF(AND($C36="Goal",I$7&gt;=$F36,I$7&lt;=$F36+$G36-1),2,IF(AND($C36="Milestone",I$7&gt;=$F36,I$7&lt;=$F36+$G36-1),1,""))</f>
        <v>#REF!</v>
      </c>
      <c r="J40" s="14" t="e">
        <f t="shared" ca="1" si="42"/>
        <v>#REF!</v>
      </c>
      <c r="K40" s="14" t="e">
        <f t="shared" ca="1" si="42"/>
        <v>#REF!</v>
      </c>
      <c r="L40" s="14" t="e">
        <f t="shared" ca="1" si="42"/>
        <v>#REF!</v>
      </c>
      <c r="M40" s="14" t="e">
        <f t="shared" ca="1" si="42"/>
        <v>#REF!</v>
      </c>
      <c r="N40" s="14" t="e">
        <f t="shared" ca="1" si="42"/>
        <v>#REF!</v>
      </c>
      <c r="O40" s="14" t="e">
        <f t="shared" ca="1" si="42"/>
        <v>#REF!</v>
      </c>
      <c r="P40" s="14" t="e">
        <f t="shared" ca="1" si="42"/>
        <v>#REF!</v>
      </c>
      <c r="Q40" s="14" t="e">
        <f t="shared" ca="1" si="42"/>
        <v>#REF!</v>
      </c>
      <c r="R40" s="14" t="e">
        <f t="shared" ca="1" si="42"/>
        <v>#REF!</v>
      </c>
      <c r="S40" s="14" t="e">
        <f t="shared" ca="1" si="42"/>
        <v>#REF!</v>
      </c>
      <c r="T40" s="14" t="e">
        <f t="shared" ca="1" si="42"/>
        <v>#REF!</v>
      </c>
      <c r="U40" s="14" t="e">
        <f t="shared" ca="1" si="42"/>
        <v>#REF!</v>
      </c>
      <c r="V40" s="14" t="e">
        <f t="shared" ca="1" si="42"/>
        <v>#REF!</v>
      </c>
      <c r="W40" s="14" t="e">
        <f t="shared" ca="1" si="42"/>
        <v>#REF!</v>
      </c>
      <c r="X40" s="14" t="e">
        <f t="shared" ca="1" si="42"/>
        <v>#REF!</v>
      </c>
      <c r="Y40" s="14" t="e">
        <f t="shared" ca="1" si="42"/>
        <v>#REF!</v>
      </c>
      <c r="Z40" s="14" t="e">
        <f t="shared" ca="1" si="42"/>
        <v>#REF!</v>
      </c>
      <c r="AA40" s="14" t="e">
        <f t="shared" ca="1" si="42"/>
        <v>#REF!</v>
      </c>
      <c r="AB40" s="14" t="e">
        <f t="shared" ca="1" si="42"/>
        <v>#REF!</v>
      </c>
      <c r="AC40" s="14" t="e">
        <f t="shared" ca="1" si="42"/>
        <v>#REF!</v>
      </c>
      <c r="AD40" s="14" t="e">
        <f t="shared" ca="1" si="42"/>
        <v>#REF!</v>
      </c>
      <c r="AE40" s="14" t="e">
        <f t="shared" ca="1" si="42"/>
        <v>#REF!</v>
      </c>
      <c r="AF40" s="14" t="e">
        <f t="shared" ca="1" si="42"/>
        <v>#REF!</v>
      </c>
      <c r="AG40" s="14" t="e">
        <f t="shared" ca="1" si="42"/>
        <v>#REF!</v>
      </c>
      <c r="AH40" s="14" t="e">
        <f t="shared" ca="1" si="42"/>
        <v>#REF!</v>
      </c>
      <c r="AI40" s="14" t="e">
        <f t="shared" ca="1" si="42"/>
        <v>#REF!</v>
      </c>
      <c r="AJ40" s="14" t="e">
        <f t="shared" ca="1" si="42"/>
        <v>#REF!</v>
      </c>
      <c r="AK40" s="14" t="e">
        <f t="shared" ca="1" si="42"/>
        <v>#REF!</v>
      </c>
      <c r="AL40" s="14" t="e">
        <f t="shared" ca="1" si="42"/>
        <v>#REF!</v>
      </c>
      <c r="AM40" s="14" t="e">
        <f t="shared" ca="1" si="42"/>
        <v>#REF!</v>
      </c>
      <c r="AN40" s="14" t="e">
        <f t="shared" ca="1" si="42"/>
        <v>#REF!</v>
      </c>
      <c r="AO40" s="14" t="e">
        <f t="shared" ref="AO40:BL40" ca="1" si="43">IF(AND($C36="Goal",AO$7&gt;=$F36,AO$7&lt;=$F36+$G36-1),2,IF(AND($C36="Milestone",AO$7&gt;=$F36,AO$7&lt;=$F36+$G36-1),1,""))</f>
        <v>#REF!</v>
      </c>
      <c r="AP40" s="14" t="e">
        <f t="shared" ca="1" si="43"/>
        <v>#REF!</v>
      </c>
      <c r="AQ40" s="14" t="e">
        <f t="shared" ca="1" si="43"/>
        <v>#REF!</v>
      </c>
      <c r="AR40" s="14" t="e">
        <f t="shared" ca="1" si="43"/>
        <v>#REF!</v>
      </c>
      <c r="AS40" s="14" t="e">
        <f t="shared" ca="1" si="43"/>
        <v>#REF!</v>
      </c>
      <c r="AT40" s="14" t="e">
        <f t="shared" ca="1" si="43"/>
        <v>#REF!</v>
      </c>
      <c r="AU40" s="14" t="e">
        <f t="shared" ca="1" si="43"/>
        <v>#REF!</v>
      </c>
      <c r="AV40" s="14" t="e">
        <f t="shared" ca="1" si="43"/>
        <v>#REF!</v>
      </c>
      <c r="AW40" s="14" t="e">
        <f t="shared" ca="1" si="43"/>
        <v>#REF!</v>
      </c>
      <c r="AX40" s="14" t="e">
        <f t="shared" ca="1" si="43"/>
        <v>#REF!</v>
      </c>
      <c r="AY40" s="14" t="e">
        <f t="shared" ca="1" si="43"/>
        <v>#REF!</v>
      </c>
      <c r="AZ40" s="14" t="e">
        <f t="shared" ca="1" si="43"/>
        <v>#REF!</v>
      </c>
      <c r="BA40" s="14" t="e">
        <f t="shared" ca="1" si="43"/>
        <v>#REF!</v>
      </c>
      <c r="BB40" s="14" t="e">
        <f t="shared" ca="1" si="43"/>
        <v>#REF!</v>
      </c>
      <c r="BC40" s="14" t="e">
        <f t="shared" ca="1" si="43"/>
        <v>#REF!</v>
      </c>
      <c r="BD40" s="14" t="e">
        <f t="shared" ca="1" si="43"/>
        <v>#REF!</v>
      </c>
      <c r="BE40" s="14" t="e">
        <f t="shared" ca="1" si="43"/>
        <v>#REF!</v>
      </c>
      <c r="BF40" s="14" t="e">
        <f t="shared" ca="1" si="43"/>
        <v>#REF!</v>
      </c>
      <c r="BG40" s="14" t="e">
        <f t="shared" ca="1" si="43"/>
        <v>#REF!</v>
      </c>
      <c r="BH40" s="14" t="e">
        <f t="shared" ca="1" si="43"/>
        <v>#REF!</v>
      </c>
      <c r="BI40" s="14" t="e">
        <f t="shared" ca="1" si="43"/>
        <v>#REF!</v>
      </c>
      <c r="BJ40" s="14" t="e">
        <f t="shared" ca="1" si="43"/>
        <v>#REF!</v>
      </c>
      <c r="BK40" s="14" t="e">
        <f t="shared" ca="1" si="43"/>
        <v>#REF!</v>
      </c>
      <c r="BL40" s="14" t="e">
        <f t="shared" ca="1" si="43"/>
        <v>#REF!</v>
      </c>
    </row>
    <row r="41" spans="1:65" s="1" customFormat="1" ht="40" customHeight="1" x14ac:dyDescent="0.2">
      <c r="A41" s="6"/>
      <c r="B41" s="60" t="s">
        <v>0</v>
      </c>
      <c r="C41" s="17"/>
      <c r="D41" s="17"/>
      <c r="E41" s="18"/>
      <c r="F41" s="19"/>
      <c r="G41" s="20"/>
      <c r="H41" s="17"/>
      <c r="I41" s="14" t="str">
        <f t="shared" ref="I41:AN41" ca="1" si="44">IF(AND($C37="Goal",I$7&gt;=$F37,I$7&lt;=$F37+$G37-1),2,IF(AND($C37="Milestone",I$7&gt;=$F37,I$7&lt;=$F37+$G37-1),1,""))</f>
        <v/>
      </c>
      <c r="J41" s="14" t="str">
        <f t="shared" ca="1" si="44"/>
        <v/>
      </c>
      <c r="K41" s="14" t="str">
        <f t="shared" ca="1" si="44"/>
        <v/>
      </c>
      <c r="L41" s="14" t="str">
        <f t="shared" ca="1" si="44"/>
        <v/>
      </c>
      <c r="M41" s="14" t="str">
        <f t="shared" ca="1" si="44"/>
        <v/>
      </c>
      <c r="N41" s="14" t="str">
        <f t="shared" ca="1" si="44"/>
        <v/>
      </c>
      <c r="O41" s="14" t="str">
        <f t="shared" ca="1" si="44"/>
        <v/>
      </c>
      <c r="P41" s="14" t="str">
        <f t="shared" ca="1" si="44"/>
        <v/>
      </c>
      <c r="Q41" s="14" t="str">
        <f t="shared" ca="1" si="44"/>
        <v/>
      </c>
      <c r="R41" s="14" t="str">
        <f t="shared" ca="1" si="44"/>
        <v/>
      </c>
      <c r="S41" s="14" t="str">
        <f t="shared" ca="1" si="44"/>
        <v/>
      </c>
      <c r="T41" s="14" t="str">
        <f t="shared" ca="1" si="44"/>
        <v/>
      </c>
      <c r="U41" s="14" t="str">
        <f t="shared" ca="1" si="44"/>
        <v/>
      </c>
      <c r="V41" s="14" t="str">
        <f t="shared" ca="1" si="44"/>
        <v/>
      </c>
      <c r="W41" s="14" t="str">
        <f t="shared" ca="1" si="44"/>
        <v/>
      </c>
      <c r="X41" s="14" t="str">
        <f t="shared" ca="1" si="44"/>
        <v/>
      </c>
      <c r="Y41" s="14" t="str">
        <f t="shared" ca="1" si="44"/>
        <v/>
      </c>
      <c r="Z41" s="14" t="str">
        <f t="shared" ca="1" si="44"/>
        <v/>
      </c>
      <c r="AA41" s="14" t="str">
        <f t="shared" ca="1" si="44"/>
        <v/>
      </c>
      <c r="AB41" s="14" t="str">
        <f t="shared" ca="1" si="44"/>
        <v/>
      </c>
      <c r="AC41" s="14" t="str">
        <f t="shared" ca="1" si="44"/>
        <v/>
      </c>
      <c r="AD41" s="14" t="str">
        <f t="shared" ca="1" si="44"/>
        <v/>
      </c>
      <c r="AE41" s="14" t="str">
        <f t="shared" ca="1" si="44"/>
        <v/>
      </c>
      <c r="AF41" s="14" t="str">
        <f t="shared" ca="1" si="44"/>
        <v/>
      </c>
      <c r="AG41" s="14" t="str">
        <f t="shared" ca="1" si="44"/>
        <v/>
      </c>
      <c r="AH41" s="14" t="str">
        <f t="shared" ca="1" si="44"/>
        <v/>
      </c>
      <c r="AI41" s="14" t="str">
        <f t="shared" ca="1" si="44"/>
        <v/>
      </c>
      <c r="AJ41" s="14" t="str">
        <f t="shared" ca="1" si="44"/>
        <v/>
      </c>
      <c r="AK41" s="14" t="str">
        <f t="shared" ca="1" si="44"/>
        <v/>
      </c>
      <c r="AL41" s="14" t="str">
        <f t="shared" ca="1" si="44"/>
        <v/>
      </c>
      <c r="AM41" s="14" t="str">
        <f t="shared" ca="1" si="44"/>
        <v/>
      </c>
      <c r="AN41" s="14" t="str">
        <f t="shared" ca="1" si="44"/>
        <v/>
      </c>
      <c r="AO41" s="14" t="str">
        <f t="shared" ref="AO41:BL41" ca="1" si="45">IF(AND($C37="Goal",AO$7&gt;=$F37,AO$7&lt;=$F37+$G37-1),2,IF(AND($C37="Milestone",AO$7&gt;=$F37,AO$7&lt;=$F37+$G37-1),1,""))</f>
        <v/>
      </c>
      <c r="AP41" s="14" t="str">
        <f t="shared" ca="1" si="45"/>
        <v/>
      </c>
      <c r="AQ41" s="14" t="str">
        <f t="shared" ca="1" si="45"/>
        <v/>
      </c>
      <c r="AR41" s="14" t="str">
        <f t="shared" ca="1" si="45"/>
        <v/>
      </c>
      <c r="AS41" s="14" t="str">
        <f t="shared" ca="1" si="45"/>
        <v/>
      </c>
      <c r="AT41" s="14" t="str">
        <f t="shared" ca="1" si="45"/>
        <v/>
      </c>
      <c r="AU41" s="14" t="str">
        <f t="shared" ca="1" si="45"/>
        <v/>
      </c>
      <c r="AV41" s="14" t="str">
        <f t="shared" ca="1" si="45"/>
        <v/>
      </c>
      <c r="AW41" s="14" t="str">
        <f t="shared" ca="1" si="45"/>
        <v/>
      </c>
      <c r="AX41" s="14" t="str">
        <f t="shared" ca="1" si="45"/>
        <v/>
      </c>
      <c r="AY41" s="14" t="str">
        <f t="shared" ca="1" si="45"/>
        <v/>
      </c>
      <c r="AZ41" s="14" t="str">
        <f t="shared" ca="1" si="45"/>
        <v/>
      </c>
      <c r="BA41" s="14" t="str">
        <f t="shared" ca="1" si="45"/>
        <v/>
      </c>
      <c r="BB41" s="14" t="str">
        <f t="shared" ca="1" si="45"/>
        <v/>
      </c>
      <c r="BC41" s="14" t="str">
        <f t="shared" ca="1" si="45"/>
        <v/>
      </c>
      <c r="BD41" s="14" t="str">
        <f t="shared" ca="1" si="45"/>
        <v/>
      </c>
      <c r="BE41" s="14" t="str">
        <f t="shared" ca="1" si="45"/>
        <v/>
      </c>
      <c r="BF41" s="14" t="str">
        <f t="shared" ca="1" si="45"/>
        <v/>
      </c>
      <c r="BG41" s="14" t="str">
        <f t="shared" ca="1" si="45"/>
        <v/>
      </c>
      <c r="BH41" s="14" t="str">
        <f t="shared" ca="1" si="45"/>
        <v/>
      </c>
      <c r="BI41" s="14" t="str">
        <f t="shared" ca="1" si="45"/>
        <v/>
      </c>
      <c r="BJ41" s="14" t="str">
        <f t="shared" ca="1" si="45"/>
        <v/>
      </c>
      <c r="BK41" s="14" t="str">
        <f t="shared" ca="1" si="45"/>
        <v/>
      </c>
      <c r="BL41" s="14" t="str">
        <f t="shared" ca="1" si="45"/>
        <v/>
      </c>
    </row>
    <row r="42" spans="1:65" s="1" customFormat="1" ht="40" customHeight="1" x14ac:dyDescent="0.2">
      <c r="A42" s="6"/>
      <c r="B42" s="21" t="s">
        <v>1</v>
      </c>
      <c r="C42" s="17"/>
      <c r="D42" s="17"/>
      <c r="E42" s="18"/>
      <c r="F42" s="19"/>
      <c r="G42" s="20"/>
      <c r="H42" s="17"/>
      <c r="I42" s="14" t="str">
        <f t="shared" ref="I42:AN42" ca="1" si="46">IF(AND($C38="Goal",I$7&gt;=$F38,I$7&lt;=$F38+$G38-1),2,IF(AND($C38="Milestone",I$7&gt;=$F38,I$7&lt;=$F38+$G38-1),1,""))</f>
        <v/>
      </c>
      <c r="J42" s="14" t="str">
        <f t="shared" ca="1" si="46"/>
        <v/>
      </c>
      <c r="K42" s="14" t="str">
        <f t="shared" ca="1" si="46"/>
        <v/>
      </c>
      <c r="L42" s="14" t="str">
        <f t="shared" ca="1" si="46"/>
        <v/>
      </c>
      <c r="M42" s="14" t="str">
        <f t="shared" ca="1" si="46"/>
        <v/>
      </c>
      <c r="N42" s="14" t="str">
        <f t="shared" ca="1" si="46"/>
        <v/>
      </c>
      <c r="O42" s="14" t="str">
        <f t="shared" ca="1" si="46"/>
        <v/>
      </c>
      <c r="P42" s="14" t="str">
        <f t="shared" ca="1" si="46"/>
        <v/>
      </c>
      <c r="Q42" s="14" t="str">
        <f t="shared" ca="1" si="46"/>
        <v/>
      </c>
      <c r="R42" s="14" t="str">
        <f t="shared" ca="1" si="46"/>
        <v/>
      </c>
      <c r="S42" s="14" t="str">
        <f t="shared" ca="1" si="46"/>
        <v/>
      </c>
      <c r="T42" s="14" t="str">
        <f t="shared" ca="1" si="46"/>
        <v/>
      </c>
      <c r="U42" s="14" t="str">
        <f t="shared" ca="1" si="46"/>
        <v/>
      </c>
      <c r="V42" s="14" t="str">
        <f t="shared" ca="1" si="46"/>
        <v/>
      </c>
      <c r="W42" s="14" t="str">
        <f t="shared" ca="1" si="46"/>
        <v/>
      </c>
      <c r="X42" s="14" t="str">
        <f t="shared" ca="1" si="46"/>
        <v/>
      </c>
      <c r="Y42" s="14" t="str">
        <f t="shared" ca="1" si="46"/>
        <v/>
      </c>
      <c r="Z42" s="14" t="str">
        <f t="shared" ca="1" si="46"/>
        <v/>
      </c>
      <c r="AA42" s="14" t="str">
        <f t="shared" ca="1" si="46"/>
        <v/>
      </c>
      <c r="AB42" s="14" t="str">
        <f t="shared" ca="1" si="46"/>
        <v/>
      </c>
      <c r="AC42" s="14" t="str">
        <f t="shared" ca="1" si="46"/>
        <v/>
      </c>
      <c r="AD42" s="14" t="str">
        <f t="shared" ca="1" si="46"/>
        <v/>
      </c>
      <c r="AE42" s="14" t="str">
        <f t="shared" ca="1" si="46"/>
        <v/>
      </c>
      <c r="AF42" s="14" t="str">
        <f t="shared" ca="1" si="46"/>
        <v/>
      </c>
      <c r="AG42" s="14" t="str">
        <f t="shared" ca="1" si="46"/>
        <v/>
      </c>
      <c r="AH42" s="14" t="str">
        <f t="shared" ca="1" si="46"/>
        <v/>
      </c>
      <c r="AI42" s="14" t="str">
        <f t="shared" ca="1" si="46"/>
        <v/>
      </c>
      <c r="AJ42" s="14" t="str">
        <f t="shared" ca="1" si="46"/>
        <v/>
      </c>
      <c r="AK42" s="14" t="str">
        <f t="shared" ca="1" si="46"/>
        <v/>
      </c>
      <c r="AL42" s="14" t="str">
        <f t="shared" ca="1" si="46"/>
        <v/>
      </c>
      <c r="AM42" s="14" t="str">
        <f t="shared" ca="1" si="46"/>
        <v/>
      </c>
      <c r="AN42" s="14" t="str">
        <f t="shared" ca="1" si="46"/>
        <v/>
      </c>
      <c r="AO42" s="14" t="str">
        <f t="shared" ref="AO42:BL42" ca="1" si="47">IF(AND($C38="Goal",AO$7&gt;=$F38,AO$7&lt;=$F38+$G38-1),2,IF(AND($C38="Milestone",AO$7&gt;=$F38,AO$7&lt;=$F38+$G38-1),1,""))</f>
        <v/>
      </c>
      <c r="AP42" s="14" t="str">
        <f t="shared" ca="1" si="47"/>
        <v/>
      </c>
      <c r="AQ42" s="14" t="str">
        <f t="shared" ca="1" si="47"/>
        <v/>
      </c>
      <c r="AR42" s="14" t="str">
        <f t="shared" ca="1" si="47"/>
        <v/>
      </c>
      <c r="AS42" s="14" t="str">
        <f t="shared" ca="1" si="47"/>
        <v/>
      </c>
      <c r="AT42" s="14" t="str">
        <f t="shared" ca="1" si="47"/>
        <v/>
      </c>
      <c r="AU42" s="14" t="str">
        <f t="shared" ca="1" si="47"/>
        <v/>
      </c>
      <c r="AV42" s="14" t="str">
        <f t="shared" ca="1" si="47"/>
        <v/>
      </c>
      <c r="AW42" s="14" t="str">
        <f t="shared" ca="1" si="47"/>
        <v/>
      </c>
      <c r="AX42" s="14" t="str">
        <f t="shared" ca="1" si="47"/>
        <v/>
      </c>
      <c r="AY42" s="14" t="str">
        <f t="shared" ca="1" si="47"/>
        <v/>
      </c>
      <c r="AZ42" s="14" t="str">
        <f t="shared" ca="1" si="47"/>
        <v/>
      </c>
      <c r="BA42" s="14" t="str">
        <f t="shared" ca="1" si="47"/>
        <v/>
      </c>
      <c r="BB42" s="14" t="str">
        <f t="shared" ca="1" si="47"/>
        <v/>
      </c>
      <c r="BC42" s="14" t="str">
        <f t="shared" ca="1" si="47"/>
        <v/>
      </c>
      <c r="BD42" s="14" t="str">
        <f t="shared" ca="1" si="47"/>
        <v/>
      </c>
      <c r="BE42" s="14" t="str">
        <f t="shared" ca="1" si="47"/>
        <v/>
      </c>
      <c r="BF42" s="14" t="str">
        <f t="shared" ca="1" si="47"/>
        <v/>
      </c>
      <c r="BG42" s="14" t="str">
        <f t="shared" ca="1" si="47"/>
        <v/>
      </c>
      <c r="BH42" s="14" t="str">
        <f t="shared" ca="1" si="47"/>
        <v/>
      </c>
      <c r="BI42" s="14" t="str">
        <f t="shared" ca="1" si="47"/>
        <v/>
      </c>
      <c r="BJ42" s="14" t="str">
        <f t="shared" ca="1" si="47"/>
        <v/>
      </c>
      <c r="BK42" s="14" t="str">
        <f t="shared" ca="1" si="47"/>
        <v/>
      </c>
      <c r="BL42" s="14" t="str">
        <f t="shared" ca="1" si="47"/>
        <v/>
      </c>
    </row>
    <row r="43" spans="1:65" s="1" customFormat="1" ht="40" customHeight="1" x14ac:dyDescent="0.2">
      <c r="A43" s="6"/>
      <c r="B43" s="21"/>
      <c r="C43" s="17"/>
      <c r="D43" s="17"/>
      <c r="E43" s="18"/>
      <c r="F43" s="19"/>
      <c r="G43" s="20"/>
      <c r="H43" s="17"/>
      <c r="I43" s="14" t="str">
        <f t="shared" ref="I43:AN43" ca="1" si="48">IF(AND($C39="Goal",I$7&gt;=$F39,I$7&lt;=$F39+$G39-1),2,IF(AND($C39="Milestone",I$7&gt;=$F39,I$7&lt;=$F39+$G39-1),1,""))</f>
        <v/>
      </c>
      <c r="J43" s="14" t="str">
        <f t="shared" ca="1" si="48"/>
        <v/>
      </c>
      <c r="K43" s="14" t="str">
        <f t="shared" ca="1" si="48"/>
        <v/>
      </c>
      <c r="L43" s="14" t="str">
        <f t="shared" ca="1" si="48"/>
        <v/>
      </c>
      <c r="M43" s="14" t="str">
        <f t="shared" ca="1" si="48"/>
        <v/>
      </c>
      <c r="N43" s="14" t="str">
        <f t="shared" ca="1" si="48"/>
        <v/>
      </c>
      <c r="O43" s="14" t="str">
        <f t="shared" ca="1" si="48"/>
        <v/>
      </c>
      <c r="P43" s="14" t="str">
        <f t="shared" ca="1" si="48"/>
        <v/>
      </c>
      <c r="Q43" s="14" t="str">
        <f t="shared" ca="1" si="48"/>
        <v/>
      </c>
      <c r="R43" s="14" t="str">
        <f t="shared" ca="1" si="48"/>
        <v/>
      </c>
      <c r="S43" s="14" t="str">
        <f t="shared" ca="1" si="48"/>
        <v/>
      </c>
      <c r="T43" s="14" t="str">
        <f t="shared" ca="1" si="48"/>
        <v/>
      </c>
      <c r="U43" s="14" t="str">
        <f t="shared" ca="1" si="48"/>
        <v/>
      </c>
      <c r="V43" s="14" t="str">
        <f t="shared" ca="1" si="48"/>
        <v/>
      </c>
      <c r="W43" s="14" t="str">
        <f t="shared" ca="1" si="48"/>
        <v/>
      </c>
      <c r="X43" s="14" t="str">
        <f t="shared" ca="1" si="48"/>
        <v/>
      </c>
      <c r="Y43" s="14" t="str">
        <f t="shared" ca="1" si="48"/>
        <v/>
      </c>
      <c r="Z43" s="14" t="str">
        <f t="shared" ca="1" si="48"/>
        <v/>
      </c>
      <c r="AA43" s="14" t="str">
        <f t="shared" ca="1" si="48"/>
        <v/>
      </c>
      <c r="AB43" s="14" t="str">
        <f t="shared" ca="1" si="48"/>
        <v/>
      </c>
      <c r="AC43" s="14" t="str">
        <f t="shared" ca="1" si="48"/>
        <v/>
      </c>
      <c r="AD43" s="14" t="str">
        <f t="shared" ca="1" si="48"/>
        <v/>
      </c>
      <c r="AE43" s="14" t="str">
        <f t="shared" ca="1" si="48"/>
        <v/>
      </c>
      <c r="AF43" s="14" t="str">
        <f t="shared" ca="1" si="48"/>
        <v/>
      </c>
      <c r="AG43" s="14" t="str">
        <f t="shared" ca="1" si="48"/>
        <v/>
      </c>
      <c r="AH43" s="14" t="str">
        <f t="shared" ca="1" si="48"/>
        <v/>
      </c>
      <c r="AI43" s="14" t="str">
        <f t="shared" ca="1" si="48"/>
        <v/>
      </c>
      <c r="AJ43" s="14" t="str">
        <f t="shared" ca="1" si="48"/>
        <v/>
      </c>
      <c r="AK43" s="14" t="str">
        <f t="shared" ca="1" si="48"/>
        <v/>
      </c>
      <c r="AL43" s="14" t="str">
        <f t="shared" ca="1" si="48"/>
        <v/>
      </c>
      <c r="AM43" s="14" t="str">
        <f t="shared" ca="1" si="48"/>
        <v/>
      </c>
      <c r="AN43" s="14" t="str">
        <f t="shared" ca="1" si="48"/>
        <v/>
      </c>
      <c r="AO43" s="14" t="str">
        <f t="shared" ref="AO43:BL43" ca="1" si="49">IF(AND($C39="Goal",AO$7&gt;=$F39,AO$7&lt;=$F39+$G39-1),2,IF(AND($C39="Milestone",AO$7&gt;=$F39,AO$7&lt;=$F39+$G39-1),1,""))</f>
        <v/>
      </c>
      <c r="AP43" s="14" t="str">
        <f t="shared" ca="1" si="49"/>
        <v/>
      </c>
      <c r="AQ43" s="14" t="str">
        <f t="shared" ca="1" si="49"/>
        <v/>
      </c>
      <c r="AR43" s="14" t="str">
        <f t="shared" ca="1" si="49"/>
        <v/>
      </c>
      <c r="AS43" s="14" t="str">
        <f t="shared" ca="1" si="49"/>
        <v/>
      </c>
      <c r="AT43" s="14" t="str">
        <f t="shared" ca="1" si="49"/>
        <v/>
      </c>
      <c r="AU43" s="14" t="str">
        <f t="shared" ca="1" si="49"/>
        <v/>
      </c>
      <c r="AV43" s="14" t="str">
        <f t="shared" ca="1" si="49"/>
        <v/>
      </c>
      <c r="AW43" s="14" t="str">
        <f t="shared" ca="1" si="49"/>
        <v/>
      </c>
      <c r="AX43" s="14" t="str">
        <f t="shared" ca="1" si="49"/>
        <v/>
      </c>
      <c r="AY43" s="14" t="str">
        <f t="shared" ca="1" si="49"/>
        <v/>
      </c>
      <c r="AZ43" s="14" t="str">
        <f t="shared" ca="1" si="49"/>
        <v/>
      </c>
      <c r="BA43" s="14" t="str">
        <f t="shared" ca="1" si="49"/>
        <v/>
      </c>
      <c r="BB43" s="14" t="str">
        <f t="shared" ca="1" si="49"/>
        <v/>
      </c>
      <c r="BC43" s="14" t="str">
        <f t="shared" ca="1" si="49"/>
        <v/>
      </c>
      <c r="BD43" s="14" t="str">
        <f t="shared" ca="1" si="49"/>
        <v/>
      </c>
      <c r="BE43" s="14" t="str">
        <f t="shared" ca="1" si="49"/>
        <v/>
      </c>
      <c r="BF43" s="14" t="str">
        <f t="shared" ca="1" si="49"/>
        <v/>
      </c>
      <c r="BG43" s="14" t="str">
        <f t="shared" ca="1" si="49"/>
        <v/>
      </c>
      <c r="BH43" s="14" t="str">
        <f t="shared" ca="1" si="49"/>
        <v/>
      </c>
      <c r="BI43" s="14" t="str">
        <f t="shared" ca="1" si="49"/>
        <v/>
      </c>
      <c r="BJ43" s="14" t="str">
        <f t="shared" ca="1" si="49"/>
        <v/>
      </c>
      <c r="BK43" s="14" t="str">
        <f t="shared" ca="1" si="49"/>
        <v/>
      </c>
      <c r="BL43" s="14" t="str">
        <f t="shared" ca="1" si="49"/>
        <v/>
      </c>
    </row>
    <row r="44" spans="1:65" s="1" customFormat="1" ht="40" customHeight="1" x14ac:dyDescent="0.2">
      <c r="A44" s="6"/>
      <c r="B44" s="59" t="s">
        <v>12</v>
      </c>
      <c r="C44" s="17"/>
      <c r="D44" s="17"/>
      <c r="E44" s="30"/>
      <c r="F44" s="39"/>
      <c r="G44" s="40"/>
      <c r="H44" s="17"/>
      <c r="I44" s="14" t="str">
        <f t="shared" ref="I44:AN44" ca="1" si="50">IF(AND($C40="Goal",I$7&gt;=$F40,I$7&lt;=$F40+$G40-1),2,IF(AND($C40="Milestone",I$7&gt;=$F40,I$7&lt;=$F40+$G40-1),1,""))</f>
        <v/>
      </c>
      <c r="J44" s="14" t="str">
        <f t="shared" ca="1" si="50"/>
        <v/>
      </c>
      <c r="K44" s="14" t="str">
        <f t="shared" ca="1" si="50"/>
        <v/>
      </c>
      <c r="L44" s="14" t="str">
        <f t="shared" ca="1" si="50"/>
        <v/>
      </c>
      <c r="M44" s="14" t="str">
        <f t="shared" ca="1" si="50"/>
        <v/>
      </c>
      <c r="N44" s="14" t="str">
        <f t="shared" ca="1" si="50"/>
        <v/>
      </c>
      <c r="O44" s="14" t="str">
        <f t="shared" ca="1" si="50"/>
        <v/>
      </c>
      <c r="P44" s="14" t="str">
        <f t="shared" ca="1" si="50"/>
        <v/>
      </c>
      <c r="Q44" s="14" t="str">
        <f t="shared" ca="1" si="50"/>
        <v/>
      </c>
      <c r="R44" s="14" t="str">
        <f t="shared" ca="1" si="50"/>
        <v/>
      </c>
      <c r="S44" s="14" t="str">
        <f t="shared" ca="1" si="50"/>
        <v/>
      </c>
      <c r="T44" s="14" t="str">
        <f t="shared" ca="1" si="50"/>
        <v/>
      </c>
      <c r="U44" s="14" t="str">
        <f t="shared" ca="1" si="50"/>
        <v/>
      </c>
      <c r="V44" s="14" t="str">
        <f t="shared" ca="1" si="50"/>
        <v/>
      </c>
      <c r="W44" s="14" t="str">
        <f t="shared" ca="1" si="50"/>
        <v/>
      </c>
      <c r="X44" s="14" t="str">
        <f t="shared" ca="1" si="50"/>
        <v/>
      </c>
      <c r="Y44" s="14" t="str">
        <f t="shared" ca="1" si="50"/>
        <v/>
      </c>
      <c r="Z44" s="14" t="str">
        <f t="shared" ca="1" si="50"/>
        <v/>
      </c>
      <c r="AA44" s="14" t="str">
        <f t="shared" ca="1" si="50"/>
        <v/>
      </c>
      <c r="AB44" s="14" t="str">
        <f t="shared" ca="1" si="50"/>
        <v/>
      </c>
      <c r="AC44" s="14" t="str">
        <f t="shared" ca="1" si="50"/>
        <v/>
      </c>
      <c r="AD44" s="14" t="str">
        <f t="shared" ca="1" si="50"/>
        <v/>
      </c>
      <c r="AE44" s="14" t="str">
        <f t="shared" ca="1" si="50"/>
        <v/>
      </c>
      <c r="AF44" s="14" t="str">
        <f t="shared" ca="1" si="50"/>
        <v/>
      </c>
      <c r="AG44" s="14" t="str">
        <f t="shared" ca="1" si="50"/>
        <v/>
      </c>
      <c r="AH44" s="14" t="str">
        <f t="shared" ca="1" si="50"/>
        <v/>
      </c>
      <c r="AI44" s="14" t="str">
        <f t="shared" ca="1" si="50"/>
        <v/>
      </c>
      <c r="AJ44" s="14" t="str">
        <f t="shared" ca="1" si="50"/>
        <v/>
      </c>
      <c r="AK44" s="14" t="str">
        <f t="shared" ca="1" si="50"/>
        <v/>
      </c>
      <c r="AL44" s="14" t="str">
        <f t="shared" ca="1" si="50"/>
        <v/>
      </c>
      <c r="AM44" s="14" t="str">
        <f t="shared" ca="1" si="50"/>
        <v/>
      </c>
      <c r="AN44" s="14" t="str">
        <f t="shared" ca="1" si="50"/>
        <v/>
      </c>
      <c r="AO44" s="14" t="str">
        <f t="shared" ref="AO44:BL44" ca="1" si="51">IF(AND($C40="Goal",AO$7&gt;=$F40,AO$7&lt;=$F40+$G40-1),2,IF(AND($C40="Milestone",AO$7&gt;=$F40,AO$7&lt;=$F40+$G40-1),1,""))</f>
        <v/>
      </c>
      <c r="AP44" s="14" t="str">
        <f t="shared" ca="1" si="51"/>
        <v/>
      </c>
      <c r="AQ44" s="14" t="str">
        <f t="shared" ca="1" si="51"/>
        <v/>
      </c>
      <c r="AR44" s="14" t="str">
        <f t="shared" ca="1" si="51"/>
        <v/>
      </c>
      <c r="AS44" s="14" t="str">
        <f t="shared" ca="1" si="51"/>
        <v/>
      </c>
      <c r="AT44" s="14" t="str">
        <f t="shared" ca="1" si="51"/>
        <v/>
      </c>
      <c r="AU44" s="14" t="str">
        <f t="shared" ca="1" si="51"/>
        <v/>
      </c>
      <c r="AV44" s="14" t="str">
        <f t="shared" ca="1" si="51"/>
        <v/>
      </c>
      <c r="AW44" s="14" t="str">
        <f t="shared" ca="1" si="51"/>
        <v/>
      </c>
      <c r="AX44" s="14" t="str">
        <f t="shared" ca="1" si="51"/>
        <v/>
      </c>
      <c r="AY44" s="14" t="str">
        <f t="shared" ca="1" si="51"/>
        <v/>
      </c>
      <c r="AZ44" s="14" t="str">
        <f t="shared" ca="1" si="51"/>
        <v/>
      </c>
      <c r="BA44" s="14" t="str">
        <f t="shared" ca="1" si="51"/>
        <v/>
      </c>
      <c r="BB44" s="14" t="str">
        <f t="shared" ca="1" si="51"/>
        <v/>
      </c>
      <c r="BC44" s="14" t="str">
        <f t="shared" ca="1" si="51"/>
        <v/>
      </c>
      <c r="BD44" s="14" t="str">
        <f t="shared" ca="1" si="51"/>
        <v/>
      </c>
      <c r="BE44" s="14" t="str">
        <f t="shared" ca="1" si="51"/>
        <v/>
      </c>
      <c r="BF44" s="14" t="str">
        <f t="shared" ca="1" si="51"/>
        <v/>
      </c>
      <c r="BG44" s="14" t="str">
        <f t="shared" ca="1" si="51"/>
        <v/>
      </c>
      <c r="BH44" s="14" t="str">
        <f t="shared" ca="1" si="51"/>
        <v/>
      </c>
      <c r="BI44" s="14" t="str">
        <f t="shared" ca="1" si="51"/>
        <v/>
      </c>
      <c r="BJ44" s="14" t="str">
        <f t="shared" ca="1" si="51"/>
        <v/>
      </c>
      <c r="BK44" s="14" t="str">
        <f t="shared" ca="1" si="51"/>
        <v/>
      </c>
      <c r="BL44" s="14" t="str">
        <f t="shared" ca="1" si="51"/>
        <v/>
      </c>
    </row>
    <row r="45" spans="1:65" s="1" customFormat="1" ht="40" customHeight="1" x14ac:dyDescent="0.2">
      <c r="A45" s="6"/>
      <c r="B45"/>
      <c r="C45"/>
      <c r="D45" s="4"/>
      <c r="E45"/>
      <c r="F45" s="2"/>
      <c r="G45" s="8"/>
      <c r="H45" s="17"/>
      <c r="I45" s="14" t="str">
        <f t="shared" ref="I45:AN45" ca="1" si="52">IF(AND($C41="Goal",I$7&gt;=$F41,I$7&lt;=$F41+$G41-1),2,IF(AND($C41="Milestone",I$7&gt;=$F41,I$7&lt;=$F41+$G41-1),1,""))</f>
        <v/>
      </c>
      <c r="J45" s="14" t="str">
        <f t="shared" ca="1" si="52"/>
        <v/>
      </c>
      <c r="K45" s="14" t="str">
        <f t="shared" ca="1" si="52"/>
        <v/>
      </c>
      <c r="L45" s="14" t="str">
        <f t="shared" ca="1" si="52"/>
        <v/>
      </c>
      <c r="M45" s="14" t="str">
        <f t="shared" ca="1" si="52"/>
        <v/>
      </c>
      <c r="N45" s="14" t="str">
        <f t="shared" ca="1" si="52"/>
        <v/>
      </c>
      <c r="O45" s="14" t="str">
        <f t="shared" ca="1" si="52"/>
        <v/>
      </c>
      <c r="P45" s="14" t="str">
        <f t="shared" ca="1" si="52"/>
        <v/>
      </c>
      <c r="Q45" s="14" t="str">
        <f t="shared" ca="1" si="52"/>
        <v/>
      </c>
      <c r="R45" s="14" t="str">
        <f t="shared" ca="1" si="52"/>
        <v/>
      </c>
      <c r="S45" s="14" t="str">
        <f t="shared" ca="1" si="52"/>
        <v/>
      </c>
      <c r="T45" s="14" t="str">
        <f t="shared" ca="1" si="52"/>
        <v/>
      </c>
      <c r="U45" s="14" t="str">
        <f t="shared" ca="1" si="52"/>
        <v/>
      </c>
      <c r="V45" s="14" t="str">
        <f t="shared" ca="1" si="52"/>
        <v/>
      </c>
      <c r="W45" s="14" t="str">
        <f t="shared" ca="1" si="52"/>
        <v/>
      </c>
      <c r="X45" s="14" t="str">
        <f t="shared" ca="1" si="52"/>
        <v/>
      </c>
      <c r="Y45" s="14" t="str">
        <f t="shared" ca="1" si="52"/>
        <v/>
      </c>
      <c r="Z45" s="14" t="str">
        <f t="shared" ca="1" si="52"/>
        <v/>
      </c>
      <c r="AA45" s="14" t="str">
        <f t="shared" ca="1" si="52"/>
        <v/>
      </c>
      <c r="AB45" s="14" t="str">
        <f t="shared" ca="1" si="52"/>
        <v/>
      </c>
      <c r="AC45" s="14" t="str">
        <f t="shared" ca="1" si="52"/>
        <v/>
      </c>
      <c r="AD45" s="14" t="str">
        <f t="shared" ca="1" si="52"/>
        <v/>
      </c>
      <c r="AE45" s="14" t="str">
        <f t="shared" ca="1" si="52"/>
        <v/>
      </c>
      <c r="AF45" s="14" t="str">
        <f t="shared" ca="1" si="52"/>
        <v/>
      </c>
      <c r="AG45" s="14" t="str">
        <f t="shared" ca="1" si="52"/>
        <v/>
      </c>
      <c r="AH45" s="14" t="str">
        <f t="shared" ca="1" si="52"/>
        <v/>
      </c>
      <c r="AI45" s="14" t="str">
        <f t="shared" ca="1" si="52"/>
        <v/>
      </c>
      <c r="AJ45" s="14" t="str">
        <f t="shared" ca="1" si="52"/>
        <v/>
      </c>
      <c r="AK45" s="14" t="str">
        <f t="shared" ca="1" si="52"/>
        <v/>
      </c>
      <c r="AL45" s="14" t="str">
        <f t="shared" ca="1" si="52"/>
        <v/>
      </c>
      <c r="AM45" s="14" t="str">
        <f t="shared" ca="1" si="52"/>
        <v/>
      </c>
      <c r="AN45" s="14" t="str">
        <f t="shared" ca="1" si="52"/>
        <v/>
      </c>
      <c r="AO45" s="14" t="str">
        <f t="shared" ref="AO45:BL45" ca="1" si="53">IF(AND($C41="Goal",AO$7&gt;=$F41,AO$7&lt;=$F41+$G41-1),2,IF(AND($C41="Milestone",AO$7&gt;=$F41,AO$7&lt;=$F41+$G41-1),1,""))</f>
        <v/>
      </c>
      <c r="AP45" s="14" t="str">
        <f t="shared" ca="1" si="53"/>
        <v/>
      </c>
      <c r="AQ45" s="14" t="str">
        <f t="shared" ca="1" si="53"/>
        <v/>
      </c>
      <c r="AR45" s="14" t="str">
        <f t="shared" ca="1" si="53"/>
        <v/>
      </c>
      <c r="AS45" s="14" t="str">
        <f t="shared" ca="1" si="53"/>
        <v/>
      </c>
      <c r="AT45" s="14" t="str">
        <f t="shared" ca="1" si="53"/>
        <v/>
      </c>
      <c r="AU45" s="14" t="str">
        <f t="shared" ca="1" si="53"/>
        <v/>
      </c>
      <c r="AV45" s="14" t="str">
        <f t="shared" ca="1" si="53"/>
        <v/>
      </c>
      <c r="AW45" s="14" t="str">
        <f t="shared" ca="1" si="53"/>
        <v/>
      </c>
      <c r="AX45" s="14" t="str">
        <f t="shared" ca="1" si="53"/>
        <v/>
      </c>
      <c r="AY45" s="14" t="str">
        <f t="shared" ca="1" si="53"/>
        <v/>
      </c>
      <c r="AZ45" s="14" t="str">
        <f t="shared" ca="1" si="53"/>
        <v/>
      </c>
      <c r="BA45" s="14" t="str">
        <f t="shared" ca="1" si="53"/>
        <v/>
      </c>
      <c r="BB45" s="14" t="str">
        <f t="shared" ca="1" si="53"/>
        <v/>
      </c>
      <c r="BC45" s="14" t="str">
        <f t="shared" ca="1" si="53"/>
        <v/>
      </c>
      <c r="BD45" s="14" t="str">
        <f t="shared" ca="1" si="53"/>
        <v/>
      </c>
      <c r="BE45" s="14" t="str">
        <f t="shared" ca="1" si="53"/>
        <v/>
      </c>
      <c r="BF45" s="14" t="str">
        <f t="shared" ca="1" si="53"/>
        <v/>
      </c>
      <c r="BG45" s="14" t="str">
        <f t="shared" ca="1" si="53"/>
        <v/>
      </c>
      <c r="BH45" s="14" t="str">
        <f t="shared" ca="1" si="53"/>
        <v/>
      </c>
      <c r="BI45" s="14" t="str">
        <f t="shared" ca="1" si="53"/>
        <v/>
      </c>
      <c r="BJ45" s="14" t="str">
        <f t="shared" ca="1" si="53"/>
        <v/>
      </c>
      <c r="BK45" s="14" t="str">
        <f t="shared" ca="1" si="53"/>
        <v/>
      </c>
      <c r="BL45" s="14" t="str">
        <f t="shared" ca="1" si="53"/>
        <v/>
      </c>
    </row>
    <row r="46" spans="1:65" s="1" customFormat="1" ht="40" customHeight="1" x14ac:dyDescent="0.2">
      <c r="A46" s="6"/>
      <c r="B46"/>
      <c r="C46"/>
      <c r="D46" s="5"/>
      <c r="E46"/>
      <c r="F46" s="2"/>
      <c r="G46"/>
      <c r="H46" s="17"/>
      <c r="I46" s="14" t="str">
        <f t="shared" ref="I46:AN46" ca="1" si="54">IF(AND($C42="Goal",I$7&gt;=$F42,I$7&lt;=$F42+$G42-1),2,IF(AND($C42="Milestone",I$7&gt;=$F42,I$7&lt;=$F42+$G42-1),1,""))</f>
        <v/>
      </c>
      <c r="J46" s="14" t="str">
        <f t="shared" ca="1" si="54"/>
        <v/>
      </c>
      <c r="K46" s="14" t="str">
        <f t="shared" ca="1" si="54"/>
        <v/>
      </c>
      <c r="L46" s="14" t="str">
        <f t="shared" ca="1" si="54"/>
        <v/>
      </c>
      <c r="M46" s="14" t="str">
        <f t="shared" ca="1" si="54"/>
        <v/>
      </c>
      <c r="N46" s="14" t="str">
        <f t="shared" ca="1" si="54"/>
        <v/>
      </c>
      <c r="O46" s="14" t="str">
        <f t="shared" ca="1" si="54"/>
        <v/>
      </c>
      <c r="P46" s="14" t="str">
        <f t="shared" ca="1" si="54"/>
        <v/>
      </c>
      <c r="Q46" s="14" t="str">
        <f t="shared" ca="1" si="54"/>
        <v/>
      </c>
      <c r="R46" s="14" t="str">
        <f t="shared" ca="1" si="54"/>
        <v/>
      </c>
      <c r="S46" s="14" t="str">
        <f t="shared" ca="1" si="54"/>
        <v/>
      </c>
      <c r="T46" s="14" t="str">
        <f t="shared" ca="1" si="54"/>
        <v/>
      </c>
      <c r="U46" s="14" t="str">
        <f t="shared" ca="1" si="54"/>
        <v/>
      </c>
      <c r="V46" s="14" t="str">
        <f t="shared" ca="1" si="54"/>
        <v/>
      </c>
      <c r="W46" s="14" t="str">
        <f t="shared" ca="1" si="54"/>
        <v/>
      </c>
      <c r="X46" s="14" t="str">
        <f t="shared" ca="1" si="54"/>
        <v/>
      </c>
      <c r="Y46" s="14" t="str">
        <f t="shared" ca="1" si="54"/>
        <v/>
      </c>
      <c r="Z46" s="14" t="str">
        <f t="shared" ca="1" si="54"/>
        <v/>
      </c>
      <c r="AA46" s="14" t="str">
        <f t="shared" ca="1" si="54"/>
        <v/>
      </c>
      <c r="AB46" s="14" t="str">
        <f t="shared" ca="1" si="54"/>
        <v/>
      </c>
      <c r="AC46" s="14" t="str">
        <f t="shared" ca="1" si="54"/>
        <v/>
      </c>
      <c r="AD46" s="14" t="str">
        <f t="shared" ca="1" si="54"/>
        <v/>
      </c>
      <c r="AE46" s="14" t="str">
        <f t="shared" ca="1" si="54"/>
        <v/>
      </c>
      <c r="AF46" s="14" t="str">
        <f t="shared" ca="1" si="54"/>
        <v/>
      </c>
      <c r="AG46" s="14" t="str">
        <f t="shared" ca="1" si="54"/>
        <v/>
      </c>
      <c r="AH46" s="14" t="str">
        <f t="shared" ca="1" si="54"/>
        <v/>
      </c>
      <c r="AI46" s="14" t="str">
        <f t="shared" ca="1" si="54"/>
        <v/>
      </c>
      <c r="AJ46" s="14" t="str">
        <f t="shared" ca="1" si="54"/>
        <v/>
      </c>
      <c r="AK46" s="14" t="str">
        <f t="shared" ca="1" si="54"/>
        <v/>
      </c>
      <c r="AL46" s="14" t="str">
        <f t="shared" ca="1" si="54"/>
        <v/>
      </c>
      <c r="AM46" s="14" t="str">
        <f t="shared" ca="1" si="54"/>
        <v/>
      </c>
      <c r="AN46" s="14" t="str">
        <f t="shared" ca="1" si="54"/>
        <v/>
      </c>
      <c r="AO46" s="14" t="str">
        <f t="shared" ref="AO46:BL46" ca="1" si="55">IF(AND($C42="Goal",AO$7&gt;=$F42,AO$7&lt;=$F42+$G42-1),2,IF(AND($C42="Milestone",AO$7&gt;=$F42,AO$7&lt;=$F42+$G42-1),1,""))</f>
        <v/>
      </c>
      <c r="AP46" s="14" t="str">
        <f t="shared" ca="1" si="55"/>
        <v/>
      </c>
      <c r="AQ46" s="14" t="str">
        <f t="shared" ca="1" si="55"/>
        <v/>
      </c>
      <c r="AR46" s="14" t="str">
        <f t="shared" ca="1" si="55"/>
        <v/>
      </c>
      <c r="AS46" s="14" t="str">
        <f t="shared" ca="1" si="55"/>
        <v/>
      </c>
      <c r="AT46" s="14" t="str">
        <f t="shared" ca="1" si="55"/>
        <v/>
      </c>
      <c r="AU46" s="14" t="str">
        <f t="shared" ca="1" si="55"/>
        <v/>
      </c>
      <c r="AV46" s="14" t="str">
        <f t="shared" ca="1" si="55"/>
        <v/>
      </c>
      <c r="AW46" s="14" t="str">
        <f t="shared" ca="1" si="55"/>
        <v/>
      </c>
      <c r="AX46" s="14" t="str">
        <f t="shared" ca="1" si="55"/>
        <v/>
      </c>
      <c r="AY46" s="14" t="str">
        <f t="shared" ca="1" si="55"/>
        <v/>
      </c>
      <c r="AZ46" s="14" t="str">
        <f t="shared" ca="1" si="55"/>
        <v/>
      </c>
      <c r="BA46" s="14" t="str">
        <f t="shared" ca="1" si="55"/>
        <v/>
      </c>
      <c r="BB46" s="14" t="str">
        <f t="shared" ca="1" si="55"/>
        <v/>
      </c>
      <c r="BC46" s="14" t="str">
        <f t="shared" ca="1" si="55"/>
        <v/>
      </c>
      <c r="BD46" s="14" t="str">
        <f t="shared" ca="1" si="55"/>
        <v/>
      </c>
      <c r="BE46" s="14" t="str">
        <f t="shared" ca="1" si="55"/>
        <v/>
      </c>
      <c r="BF46" s="14" t="str">
        <f t="shared" ca="1" si="55"/>
        <v/>
      </c>
      <c r="BG46" s="14" t="str">
        <f t="shared" ca="1" si="55"/>
        <v/>
      </c>
      <c r="BH46" s="14" t="str">
        <f t="shared" ca="1" si="55"/>
        <v/>
      </c>
      <c r="BI46" s="14" t="str">
        <f t="shared" ca="1" si="55"/>
        <v/>
      </c>
      <c r="BJ46" s="14" t="str">
        <f t="shared" ca="1" si="55"/>
        <v/>
      </c>
      <c r="BK46" s="14" t="str">
        <f t="shared" ca="1" si="55"/>
        <v/>
      </c>
      <c r="BL46" s="14" t="str">
        <f t="shared" ca="1" si="55"/>
        <v/>
      </c>
    </row>
    <row r="47" spans="1:65" s="1" customFormat="1" ht="40" customHeight="1" x14ac:dyDescent="0.2">
      <c r="A47" s="6"/>
      <c r="B47"/>
      <c r="C47"/>
      <c r="D47"/>
      <c r="E47"/>
      <c r="F47" s="2"/>
      <c r="G47"/>
      <c r="H47" s="17"/>
      <c r="I47" s="14" t="str">
        <f t="shared" ref="I47:AN47" ca="1" si="56">IF(AND($C43="Goal",I$7&gt;=$F43,I$7&lt;=$F43+$G43-1),2,IF(AND($C43="Milestone",I$7&gt;=$F43,I$7&lt;=$F43+$G43-1),1,""))</f>
        <v/>
      </c>
      <c r="J47" s="14" t="str">
        <f t="shared" ca="1" si="56"/>
        <v/>
      </c>
      <c r="K47" s="14" t="str">
        <f t="shared" ca="1" si="56"/>
        <v/>
      </c>
      <c r="L47" s="14" t="str">
        <f t="shared" ca="1" si="56"/>
        <v/>
      </c>
      <c r="M47" s="14" t="str">
        <f t="shared" ca="1" si="56"/>
        <v/>
      </c>
      <c r="N47" s="14" t="str">
        <f t="shared" ca="1" si="56"/>
        <v/>
      </c>
      <c r="O47" s="14" t="str">
        <f t="shared" ca="1" si="56"/>
        <v/>
      </c>
      <c r="P47" s="14" t="str">
        <f t="shared" ca="1" si="56"/>
        <v/>
      </c>
      <c r="Q47" s="14" t="str">
        <f t="shared" ca="1" si="56"/>
        <v/>
      </c>
      <c r="R47" s="14" t="str">
        <f t="shared" ca="1" si="56"/>
        <v/>
      </c>
      <c r="S47" s="14" t="str">
        <f t="shared" ca="1" si="56"/>
        <v/>
      </c>
      <c r="T47" s="14" t="str">
        <f t="shared" ca="1" si="56"/>
        <v/>
      </c>
      <c r="U47" s="14" t="str">
        <f t="shared" ca="1" si="56"/>
        <v/>
      </c>
      <c r="V47" s="14" t="str">
        <f t="shared" ca="1" si="56"/>
        <v/>
      </c>
      <c r="W47" s="14" t="str">
        <f t="shared" ca="1" si="56"/>
        <v/>
      </c>
      <c r="X47" s="14" t="str">
        <f t="shared" ca="1" si="56"/>
        <v/>
      </c>
      <c r="Y47" s="14" t="str">
        <f t="shared" ca="1" si="56"/>
        <v/>
      </c>
      <c r="Z47" s="14" t="str">
        <f t="shared" ca="1" si="56"/>
        <v/>
      </c>
      <c r="AA47" s="14" t="str">
        <f t="shared" ca="1" si="56"/>
        <v/>
      </c>
      <c r="AB47" s="14" t="str">
        <f t="shared" ca="1" si="56"/>
        <v/>
      </c>
      <c r="AC47" s="14" t="str">
        <f t="shared" ca="1" si="56"/>
        <v/>
      </c>
      <c r="AD47" s="14" t="str">
        <f t="shared" ca="1" si="56"/>
        <v/>
      </c>
      <c r="AE47" s="14" t="str">
        <f t="shared" ca="1" si="56"/>
        <v/>
      </c>
      <c r="AF47" s="14" t="str">
        <f t="shared" ca="1" si="56"/>
        <v/>
      </c>
      <c r="AG47" s="14" t="str">
        <f t="shared" ca="1" si="56"/>
        <v/>
      </c>
      <c r="AH47" s="14" t="str">
        <f t="shared" ca="1" si="56"/>
        <v/>
      </c>
      <c r="AI47" s="14" t="str">
        <f t="shared" ca="1" si="56"/>
        <v/>
      </c>
      <c r="AJ47" s="14" t="str">
        <f t="shared" ca="1" si="56"/>
        <v/>
      </c>
      <c r="AK47" s="14" t="str">
        <f t="shared" ca="1" si="56"/>
        <v/>
      </c>
      <c r="AL47" s="14" t="str">
        <f t="shared" ca="1" si="56"/>
        <v/>
      </c>
      <c r="AM47" s="14" t="str">
        <f t="shared" ca="1" si="56"/>
        <v/>
      </c>
      <c r="AN47" s="14" t="str">
        <f t="shared" ca="1" si="56"/>
        <v/>
      </c>
      <c r="AO47" s="14" t="str">
        <f t="shared" ref="AO47:BL47" ca="1" si="57">IF(AND($C43="Goal",AO$7&gt;=$F43,AO$7&lt;=$F43+$G43-1),2,IF(AND($C43="Milestone",AO$7&gt;=$F43,AO$7&lt;=$F43+$G43-1),1,""))</f>
        <v/>
      </c>
      <c r="AP47" s="14" t="str">
        <f t="shared" ca="1" si="57"/>
        <v/>
      </c>
      <c r="AQ47" s="14" t="str">
        <f t="shared" ca="1" si="57"/>
        <v/>
      </c>
      <c r="AR47" s="14" t="str">
        <f t="shared" ca="1" si="57"/>
        <v/>
      </c>
      <c r="AS47" s="14" t="str">
        <f t="shared" ca="1" si="57"/>
        <v/>
      </c>
      <c r="AT47" s="14" t="str">
        <f t="shared" ca="1" si="57"/>
        <v/>
      </c>
      <c r="AU47" s="14" t="str">
        <f t="shared" ca="1" si="57"/>
        <v/>
      </c>
      <c r="AV47" s="14" t="str">
        <f t="shared" ca="1" si="57"/>
        <v/>
      </c>
      <c r="AW47" s="14" t="str">
        <f t="shared" ca="1" si="57"/>
        <v/>
      </c>
      <c r="AX47" s="14" t="str">
        <f t="shared" ca="1" si="57"/>
        <v/>
      </c>
      <c r="AY47" s="14" t="str">
        <f t="shared" ca="1" si="57"/>
        <v/>
      </c>
      <c r="AZ47" s="14" t="str">
        <f t="shared" ca="1" si="57"/>
        <v/>
      </c>
      <c r="BA47" s="14" t="str">
        <f t="shared" ca="1" si="57"/>
        <v/>
      </c>
      <c r="BB47" s="14" t="str">
        <f t="shared" ca="1" si="57"/>
        <v/>
      </c>
      <c r="BC47" s="14" t="str">
        <f t="shared" ca="1" si="57"/>
        <v/>
      </c>
      <c r="BD47" s="14" t="str">
        <f t="shared" ca="1" si="57"/>
        <v/>
      </c>
      <c r="BE47" s="14" t="str">
        <f t="shared" ca="1" si="57"/>
        <v/>
      </c>
      <c r="BF47" s="14" t="str">
        <f t="shared" ca="1" si="57"/>
        <v/>
      </c>
      <c r="BG47" s="14" t="str">
        <f t="shared" ca="1" si="57"/>
        <v/>
      </c>
      <c r="BH47" s="14" t="str">
        <f t="shared" ca="1" si="57"/>
        <v/>
      </c>
      <c r="BI47" s="14" t="str">
        <f t="shared" ca="1" si="57"/>
        <v/>
      </c>
      <c r="BJ47" s="14" t="str">
        <f t="shared" ca="1" si="57"/>
        <v/>
      </c>
      <c r="BK47" s="14" t="str">
        <f t="shared" ca="1" si="57"/>
        <v/>
      </c>
      <c r="BL47" s="14" t="str">
        <f t="shared" ca="1" si="57"/>
        <v/>
      </c>
      <c r="BM47" s="43"/>
    </row>
    <row r="48" spans="1:65" s="1" customFormat="1" ht="40" customHeight="1" x14ac:dyDescent="0.2">
      <c r="A48" s="7"/>
      <c r="B48"/>
      <c r="C48"/>
      <c r="D48"/>
      <c r="E48"/>
      <c r="F48" s="2"/>
      <c r="G48"/>
      <c r="H48" s="17"/>
      <c r="I48" s="41"/>
      <c r="J48" s="41"/>
      <c r="K48" s="41"/>
      <c r="L48" s="41"/>
      <c r="M48" s="41"/>
      <c r="N48" s="41"/>
      <c r="O48" s="41"/>
      <c r="P48" s="41"/>
      <c r="Q48" s="41"/>
      <c r="R48" s="41"/>
      <c r="S48" s="41"/>
      <c r="T48" s="41"/>
      <c r="U48" s="41"/>
      <c r="V48" s="41"/>
      <c r="W48" s="41"/>
      <c r="X48" s="41"/>
      <c r="Y48" s="41"/>
      <c r="Z48" s="41"/>
      <c r="AA48" s="41"/>
      <c r="AB48" s="41"/>
      <c r="AC48" s="41"/>
      <c r="AD48" s="41"/>
      <c r="AE48" s="41"/>
      <c r="AF48" s="41"/>
      <c r="AG48" s="41"/>
      <c r="AH48" s="41"/>
      <c r="AI48" s="41"/>
      <c r="AJ48" s="41"/>
      <c r="AK48" s="41"/>
      <c r="AL48" s="41"/>
      <c r="AM48" s="41"/>
      <c r="AN48" s="41"/>
      <c r="AO48" s="41"/>
      <c r="AP48" s="41"/>
      <c r="AQ48" s="41"/>
      <c r="AR48" s="41"/>
      <c r="AS48" s="41"/>
      <c r="AT48" s="41"/>
      <c r="AU48" s="41"/>
      <c r="AV48" s="41"/>
      <c r="AW48" s="41"/>
      <c r="AX48" s="41"/>
      <c r="AY48" s="41"/>
      <c r="AZ48" s="41"/>
      <c r="BA48" s="41"/>
      <c r="BB48" s="41"/>
      <c r="BC48" s="41"/>
      <c r="BD48" s="41"/>
      <c r="BE48" s="41"/>
      <c r="BF48" s="41"/>
      <c r="BG48" s="41"/>
      <c r="BH48" s="41"/>
      <c r="BI48" s="41"/>
      <c r="BJ48" s="41"/>
      <c r="BK48" s="41"/>
      <c r="BL48" s="41"/>
    </row>
    <row r="49" spans="8:8" ht="30" customHeight="1" x14ac:dyDescent="0.2">
      <c r="H49" s="3"/>
    </row>
  </sheetData>
  <mergeCells count="8">
    <mergeCell ref="X4:AA4"/>
    <mergeCell ref="AC4:AF4"/>
    <mergeCell ref="B2:H2"/>
    <mergeCell ref="I2:N2"/>
    <mergeCell ref="O2:T2"/>
    <mergeCell ref="I4:L4"/>
    <mergeCell ref="N4:Q4"/>
    <mergeCell ref="S4:V4"/>
  </mergeCells>
  <conditionalFormatting sqref="E9:E44">
    <cfRule type="dataBar" priority="12">
      <dataBar>
        <cfvo type="num" val="0"/>
        <cfvo type="num" val="1"/>
        <color theme="6"/>
      </dataBar>
      <extLst>
        <ext xmlns:x14="http://schemas.microsoft.com/office/spreadsheetml/2009/9/main" uri="{B025F937-C7B1-47D3-B67F-A62EFF666E3E}">
          <x14:id>{E8416024-553A-4557-9805-628B358112C1}</x14:id>
        </ext>
      </extLst>
    </cfRule>
  </conditionalFormatting>
  <conditionalFormatting sqref="I6:AM6">
    <cfRule type="expression" dxfId="48" priority="11">
      <formula>I$7&lt;=EOMONTH($I$7,0)</formula>
    </cfRule>
  </conditionalFormatting>
  <conditionalFormatting sqref="I6:BL6">
    <cfRule type="expression" dxfId="47" priority="9">
      <formula>AND(I$7&lt;=EOMONTH($I$7,1),I$7&gt;EOMONTH($I$7,0))</formula>
    </cfRule>
  </conditionalFormatting>
  <conditionalFormatting sqref="I7:BL48">
    <cfRule type="expression" dxfId="46" priority="1">
      <formula>AND(TODAY()&gt;=I$7,TODAY()&lt;J$7)</formula>
    </cfRule>
  </conditionalFormatting>
  <conditionalFormatting sqref="I10:BL10 I12:BL13 I15:BL24">
    <cfRule type="expression" dxfId="45" priority="14" stopIfTrue="1">
      <formula>AND($C10="Low Risk",I$7&gt;=$F10,I$7&lt;=$F10+$G10-1)</formula>
    </cfRule>
    <cfRule type="expression" dxfId="44" priority="15" stopIfTrue="1">
      <formula>AND($C10="High Risk",I$7&gt;=$F10,I$7&lt;=$F10+$G10-1)</formula>
    </cfRule>
    <cfRule type="expression" dxfId="43" priority="16" stopIfTrue="1">
      <formula>AND($C10="On Track",I$7&gt;=$F10,I$7&lt;=$F10+$G10-1)</formula>
    </cfRule>
    <cfRule type="expression" dxfId="42" priority="17" stopIfTrue="1">
      <formula>AND($C10="Med Risk",I$7&gt;=$F10,I$7&lt;=$F10+$G10-1)</formula>
    </cfRule>
    <cfRule type="expression" dxfId="41" priority="18" stopIfTrue="1">
      <formula>AND(LEN($C10)=0,I$7&gt;=$F10,I$7&lt;=$F10+$G10-1)</formula>
    </cfRule>
  </conditionalFormatting>
  <conditionalFormatting sqref="I11:BL11">
    <cfRule type="expression" dxfId="40" priority="36" stopIfTrue="1">
      <formula>AND(LEN(#REF!)=0,I$7&gt;=$F11,I$7&lt;=$F11+$G11-1)</formula>
    </cfRule>
    <cfRule type="expression" dxfId="39" priority="35" stopIfTrue="1">
      <formula>AND(#REF!="Med Risk",I$7&gt;=$F11,I$7&lt;=$F11+$G11-1)</formula>
    </cfRule>
    <cfRule type="expression" dxfId="38" priority="34" stopIfTrue="1">
      <formula>AND(#REF!="On Track",I$7&gt;=$F11,I$7&lt;=$F11+$G11-1)</formula>
    </cfRule>
    <cfRule type="expression" dxfId="37" priority="33" stopIfTrue="1">
      <formula>AND(#REF!="High Risk",I$7&gt;=$F11,I$7&lt;=$F11+$G11-1)</formula>
    </cfRule>
    <cfRule type="expression" dxfId="36" priority="32" stopIfTrue="1">
      <formula>AND(#REF!="Low Risk",I$7&gt;=$F11,I$7&lt;=$F11+$G11-1)</formula>
    </cfRule>
  </conditionalFormatting>
  <conditionalFormatting sqref="I14:BL14">
    <cfRule type="expression" dxfId="35" priority="3" stopIfTrue="1">
      <formula>AND($C14="Low Risk",I$7&gt;=$F14,I$7&lt;=$F14+$G14-1)</formula>
    </cfRule>
    <cfRule type="expression" dxfId="34" priority="4" stopIfTrue="1">
      <formula>AND($C14="High Risk",I$7&gt;=$F14,I$7&lt;=$F14+$G14-1)</formula>
    </cfRule>
    <cfRule type="expression" dxfId="33" priority="5" stopIfTrue="1">
      <formula>AND($C14="On Track",I$7&gt;=$F14,I$7&lt;=$F14+$G14-1)</formula>
    </cfRule>
    <cfRule type="expression" dxfId="32" priority="6" stopIfTrue="1">
      <formula>AND($C14="Med Risk",I$7&gt;=$F14,I$7&lt;=$F14+$G14-1)</formula>
    </cfRule>
    <cfRule type="expression" dxfId="31" priority="7" stopIfTrue="1">
      <formula>AND(LEN($C14)=0,I$7&gt;=$F14,I$7&lt;=$F14+$G14-1)</formula>
    </cfRule>
  </conditionalFormatting>
  <conditionalFormatting sqref="I25:BL25">
    <cfRule type="expression" dxfId="30" priority="64" stopIfTrue="1">
      <formula>AND(#REF!="Low Risk",I$7&gt;=#REF!,I$7&lt;=#REF!+#REF!-1)</formula>
    </cfRule>
    <cfRule type="expression" dxfId="29" priority="65" stopIfTrue="1">
      <formula>AND(#REF!="High Risk",I$7&gt;=#REF!,I$7&lt;=#REF!+#REF!-1)</formula>
    </cfRule>
    <cfRule type="expression" dxfId="28" priority="66" stopIfTrue="1">
      <formula>AND(#REF!="On Track",I$7&gt;=#REF!,I$7&lt;=#REF!+#REF!-1)</formula>
    </cfRule>
    <cfRule type="expression" dxfId="27" priority="67" stopIfTrue="1">
      <formula>AND(#REF!="Med Risk",I$7&gt;=#REF!,I$7&lt;=#REF!+#REF!-1)</formula>
    </cfRule>
    <cfRule type="expression" dxfId="26" priority="68" stopIfTrue="1">
      <formula>AND(LEN(#REF!)=0,I$7&gt;=#REF!,I$7&lt;=#REF!+#REF!-1)</formula>
    </cfRule>
  </conditionalFormatting>
  <conditionalFormatting sqref="I26:BL26">
    <cfRule type="expression" dxfId="25" priority="88" stopIfTrue="1">
      <formula>AND(#REF!="Low Risk",I$7&gt;=#REF!,I$7&lt;=#REF!+#REF!-1)</formula>
    </cfRule>
    <cfRule type="expression" dxfId="24" priority="89" stopIfTrue="1">
      <formula>AND(#REF!="High Risk",I$7&gt;=#REF!,I$7&lt;=#REF!+#REF!-1)</formula>
    </cfRule>
    <cfRule type="expression" dxfId="23" priority="90" stopIfTrue="1">
      <formula>AND(#REF!="On Track",I$7&gt;=#REF!,I$7&lt;=#REF!+#REF!-1)</formula>
    </cfRule>
    <cfRule type="expression" dxfId="22" priority="91" stopIfTrue="1">
      <formula>AND(#REF!="Med Risk",I$7&gt;=#REF!,I$7&lt;=#REF!+#REF!-1)</formula>
    </cfRule>
    <cfRule type="expression" dxfId="21" priority="92" stopIfTrue="1">
      <formula>AND(LEN(#REF!)=0,I$7&gt;=#REF!,I$7&lt;=#REF!+#REF!-1)</formula>
    </cfRule>
  </conditionalFormatting>
  <conditionalFormatting sqref="I27:BL27">
    <cfRule type="expression" dxfId="20" priority="105" stopIfTrue="1">
      <formula>AND(#REF!="Med Risk",I$7&gt;=#REF!,I$7&lt;=#REF!+#REF!-1)</formula>
    </cfRule>
    <cfRule type="expression" dxfId="19" priority="106" stopIfTrue="1">
      <formula>AND(LEN(#REF!)=0,I$7&gt;=#REF!,I$7&lt;=#REF!+#REF!-1)</formula>
    </cfRule>
    <cfRule type="expression" dxfId="18" priority="102" stopIfTrue="1">
      <formula>AND(#REF!="Low Risk",I$7&gt;=#REF!,I$7&lt;=#REF!+#REF!-1)</formula>
    </cfRule>
    <cfRule type="expression" dxfId="17" priority="103" stopIfTrue="1">
      <formula>AND(#REF!="High Risk",I$7&gt;=#REF!,I$7&lt;=#REF!+#REF!-1)</formula>
    </cfRule>
    <cfRule type="expression" dxfId="16" priority="104" stopIfTrue="1">
      <formula>AND(#REF!="On Track",I$7&gt;=#REF!,I$7&lt;=#REF!+#REF!-1)</formula>
    </cfRule>
  </conditionalFormatting>
  <conditionalFormatting sqref="I28:BL28">
    <cfRule type="expression" dxfId="15" priority="120" stopIfTrue="1">
      <formula>AND(LEN(#REF!)=0,I$7&gt;=#REF!,I$7&lt;=#REF!+#REF!-1)</formula>
    </cfRule>
    <cfRule type="expression" dxfId="14" priority="119" stopIfTrue="1">
      <formula>AND(#REF!="Med Risk",I$7&gt;=#REF!,I$7&lt;=#REF!+#REF!-1)</formula>
    </cfRule>
    <cfRule type="expression" dxfId="13" priority="118" stopIfTrue="1">
      <formula>AND(#REF!="On Track",I$7&gt;=#REF!,I$7&lt;=#REF!+#REF!-1)</formula>
    </cfRule>
    <cfRule type="expression" dxfId="12" priority="117" stopIfTrue="1">
      <formula>AND(#REF!="High Risk",I$7&gt;=#REF!,I$7&lt;=#REF!+#REF!-1)</formula>
    </cfRule>
    <cfRule type="expression" dxfId="11" priority="116" stopIfTrue="1">
      <formula>AND(#REF!="Low Risk",I$7&gt;=#REF!,I$7&lt;=#REF!+#REF!-1)</formula>
    </cfRule>
  </conditionalFormatting>
  <conditionalFormatting sqref="I29:BL47">
    <cfRule type="expression" dxfId="10" priority="126" stopIfTrue="1">
      <formula>AND(LEN($C25)=0,I$7&gt;=$F25,I$7&lt;=$F25+$G25-1)</formula>
    </cfRule>
    <cfRule type="expression" dxfId="9" priority="122" stopIfTrue="1">
      <formula>AND($C25="Low Risk",I$7&gt;=$F25,I$7&lt;=$F25+$G25-1)</formula>
    </cfRule>
    <cfRule type="expression" dxfId="8" priority="123" stopIfTrue="1">
      <formula>AND($C25="High Risk",I$7&gt;=$F25,I$7&lt;=$F25+$G25-1)</formula>
    </cfRule>
    <cfRule type="expression" dxfId="7" priority="124" stopIfTrue="1">
      <formula>AND($C25="On Track",I$7&gt;=$F25,I$7&lt;=$F25+$G25-1)</formula>
    </cfRule>
    <cfRule type="expression" dxfId="6" priority="125" stopIfTrue="1">
      <formula>AND($C25="Med Risk",I$7&gt;=$F25,I$7&lt;=$F25+$G25-1)</formula>
    </cfRule>
  </conditionalFormatting>
  <conditionalFormatting sqref="I48:BL48">
    <cfRule type="expression" dxfId="5" priority="20" stopIfTrue="1">
      <formula>AND(#REF!="Low Risk",I$7&gt;=#REF!,I$7&lt;=#REF!+#REF!-1)</formula>
    </cfRule>
    <cfRule type="expression" dxfId="4" priority="21" stopIfTrue="1">
      <formula>AND(#REF!="High Risk",I$7&gt;=#REF!,I$7&lt;=#REF!+#REF!-1)</formula>
    </cfRule>
    <cfRule type="expression" dxfId="3" priority="22" stopIfTrue="1">
      <formula>AND(#REF!="On Track",I$7&gt;=#REF!,I$7&lt;=#REF!+#REF!-1)</formula>
    </cfRule>
    <cfRule type="expression" dxfId="2" priority="23" stopIfTrue="1">
      <formula>AND(#REF!="Med Risk",I$7&gt;=#REF!,I$7&lt;=#REF!+#REF!-1)</formula>
    </cfRule>
    <cfRule type="expression" dxfId="1" priority="24" stopIfTrue="1">
      <formula>AND(LEN(#REF!)=0,I$7&gt;=#REF!,I$7&lt;=#REF!+#REF!-1)</formula>
    </cfRule>
  </conditionalFormatting>
  <conditionalFormatting sqref="J6:BL6">
    <cfRule type="expression" dxfId="0" priority="10">
      <formula>AND(J$7&lt;=EOMONTH($I$7,2),J$7&gt;EOMONTH($I$7,0),J$7&gt;EOMONTH($I$7,1))</formula>
    </cfRule>
  </conditionalFormatting>
  <dataValidations count="12">
    <dataValidation type="whole" operator="greaterThanOrEqual" allowBlank="1" showInputMessage="1" promptTitle="Scrolling Increment" prompt="Changing this number will scroll the Gantt Chart view." sqref="C7" xr:uid="{662A47A0-7258-440E-8D71-BC54CBC9C651}">
      <formula1>0</formula1>
    </dataValidation>
    <dataValidation type="list" allowBlank="1" showInputMessage="1" showErrorMessage="1" sqref="C10 C12:C43" xr:uid="{12A8278F-D51D-4B98-A311-DB5FCD18D214}">
      <formula1>"Goal,Milestone,On Track, Low Risk, Med Risk, High Risk"</formula1>
    </dataValidation>
    <dataValidation allowBlank="1" showInputMessage="1" showErrorMessage="1" promptTitle="Create a Gantt Chart " prompt="Enter title of this project in cell B2. _x000a_Information about how to use this worksheet, including instructions for screen readers and the author of this workbook is in the About worksheet._x000a_Continue navigating down column A to hear further instructions." sqref="A2" xr:uid="{E4602294-DCCD-4B4D-A916-B5520C80CF80}"/>
    <dataValidation allowBlank="1" showInputMessage="1" showErrorMessage="1" prompt="Enter Company Name in cell B4._x000a_A legend is in cells I4 through AC4.  The Legend label is in cell G4." sqref="A4" xr:uid="{162198D7-BB96-453A-BB1C-71A472FB68F5}"/>
    <dataValidation allowBlank="1" showInputMessage="1" showErrorMessage="1" prompt="Enter the name of the Project Lead in cell B5. Enter the Project Start date in cell C6 or allow the sample formula to find the smallest date value from the Gantt Data table.  _x000a_Project Start Date: label is in cell B6." sqref="A5" xr:uid="{9BBE640D-6E85-4D9D-AF8E-654ECD5CE97D}"/>
    <dataValidation allowBlank="1" showInputMessage="1" showErrorMessage="1" prompt="A Scrolling Increment is in cell C7. _x000a_Months for the dates in row 7 are displayed starting in cells I6 through cell BL6._x000a_Do not modify these cells. They are auto updated based on the project start date in cell F6." sqref="A6" xr:uid="{D018285A-B1BB-4604-A67E-E25F048BC864}"/>
    <dataValidation allowBlank="1" showInputMessage="1" showErrorMessage="1" prompt="Cells I9 through BL9 contain the day number of the month for the Month represented in the cell block above each date cell and are auto calculated._x000a_Do not modify these cells._x000a_" sqref="A7" xr:uid="{1544BB7A-7F3E-469D-9CB6-4B9BACED7ACE}"/>
    <dataValidation allowBlank="1" showInputMessage="1" showErrorMessage="1" prompt="A scrollbar is in cells I8 through BL8. _x000a_To jump forward or backward in the timeline, enter a value of 0 or higher in cell C7._x000a_A value of 0 takes you to the beginning of the chart." sqref="A8" xr:uid="{737D7247-B514-41B2-94CC-2F538E17DE66}"/>
    <dataValidation allowBlank="1" showInputMessage="1" showErrorMessage="1" prompt="This row contains headers for the project schedule.  B9 through G9 contains schedule information.  Cells I9 through BL9 contain the first letter of each day of the week for the date above that heading._x000a_All project timeline charting is auto generated." sqref="A9" xr:uid="{6AB925DC-9BC9-4EC3-A848-25121289EECD}"/>
    <dataValidation allowBlank="1" showInputMessage="1" showErrorMessage="1" prompt="Enter Project information starting in cell B11 through cell G11. _x000a_Enter Milestone Description, select a Category, assign someone to the task, and enter the progress, start date, and number of days for the task to start charting._x000a_" sqref="A11" xr:uid="{77315CCB-C571-42B0-8983-9C17BB04F75F}"/>
    <dataValidation allowBlank="1" showInputMessage="1" showErrorMessage="1" prompt="This row marks the end of the Gantt milestone data. DO NOT enter anything in this row. _x000a_To add more items, insert new rows above this one._x000a_" sqref="A48" xr:uid="{659FD5CB-B62B-4854-B8A9-29F1F70930AC}"/>
    <dataValidation allowBlank="1" showInputMessage="1" showErrorMessage="1" prompt="This is an empty row" sqref="A47" xr:uid="{60F6BB2A-523D-41BA-B324-85E19FB9FF7E}"/>
  </dataValidations>
  <printOptions horizontalCentered="1"/>
  <pageMargins left="0.25" right="0.25" top="0.5" bottom="0.5" header="0.3" footer="0.3"/>
  <pageSetup scale="45" fitToHeight="0" orientation="landscape" r:id="rId1"/>
  <headerFooter differentFirst="1" scaleWithDoc="0">
    <oddFooter>Page &amp;P of &amp;N</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6385" r:id="rId4" name="Scroll Bar 1">
              <controlPr defaultSize="0" autoPict="0" altText="Scroll bar to scroll through the Ghantt project timeline.">
                <anchor moveWithCells="1">
                  <from>
                    <xdr:col>8</xdr:col>
                    <xdr:colOff>25400</xdr:colOff>
                    <xdr:row>7</xdr:row>
                    <xdr:rowOff>63500</xdr:rowOff>
                  </from>
                  <to>
                    <xdr:col>63</xdr:col>
                    <xdr:colOff>228600</xdr:colOff>
                    <xdr:row>7</xdr:row>
                    <xdr:rowOff>241300</xdr:rowOff>
                  </to>
                </anchor>
              </controlPr>
            </control>
          </mc:Choice>
        </mc:AlternateContent>
      </controls>
    </mc:Choice>
  </mc:AlternateContent>
  <tableParts count="1">
    <tablePart r:id="rId5"/>
  </tableParts>
  <extLst>
    <ext xmlns:x14="http://schemas.microsoft.com/office/spreadsheetml/2009/9/main" uri="{78C0D931-6437-407d-A8EE-F0AAD7539E65}">
      <x14:conditionalFormattings>
        <x14:conditionalFormatting xmlns:xm="http://schemas.microsoft.com/office/excel/2006/main">
          <x14:cfRule type="dataBar" id="{E8416024-553A-4557-9805-628B358112C1}">
            <x14:dataBar minLength="0" maxLength="100" gradient="0">
              <x14:cfvo type="num">
                <xm:f>0</xm:f>
              </x14:cfvo>
              <x14:cfvo type="num">
                <xm:f>1</xm:f>
              </x14:cfvo>
              <x14:negativeFillColor rgb="FFFF0000"/>
              <x14:axisColor rgb="FF000000"/>
            </x14:dataBar>
          </x14:cfRule>
          <xm:sqref>E9:E44</xm:sqref>
        </x14:conditionalFormatting>
        <x14:conditionalFormatting xmlns:xm="http://schemas.microsoft.com/office/excel/2006/main">
          <x14:cfRule type="iconSet" priority="13" id="{39412BF5-D1E8-4731-95F6-6B0C252D35F8}">
            <x14:iconSet iconSet="3Stars" showValue="0" custom="1">
              <x14:cfvo type="percent">
                <xm:f>0</xm:f>
              </x14:cfvo>
              <x14:cfvo type="num">
                <xm:f>1</xm:f>
              </x14:cfvo>
              <x14:cfvo type="num">
                <xm:f>2</xm:f>
              </x14:cfvo>
              <x14:cfIcon iconSet="NoIcons" iconId="0"/>
              <x14:cfIcon iconSet="3Flags" iconId="1"/>
              <x14:cfIcon iconSet="3Signs" iconId="0"/>
            </x14:iconSet>
          </x14:cfRule>
          <xm:sqref>I10:BL10 I12:BL13 I15:BL24</xm:sqref>
        </x14:conditionalFormatting>
        <x14:conditionalFormatting xmlns:xm="http://schemas.microsoft.com/office/excel/2006/main">
          <x14:cfRule type="iconSet" priority="31" id="{39412BF5-D1E8-4731-95F6-6B0C252D35F8}">
            <x14:iconSet iconSet="3Stars" showValue="0" custom="1">
              <x14:cfvo type="percent">
                <xm:f>0</xm:f>
              </x14:cfvo>
              <x14:cfvo type="num">
                <xm:f>1</xm:f>
              </x14:cfvo>
              <x14:cfvo type="num">
                <xm:f>2</xm:f>
              </x14:cfvo>
              <x14:cfIcon iconSet="NoIcons" iconId="0"/>
              <x14:cfIcon iconSet="3Flags" iconId="1"/>
              <x14:cfIcon iconSet="3Signs" iconId="0"/>
            </x14:iconSet>
          </x14:cfRule>
          <xm:sqref>I11:BL11</xm:sqref>
        </x14:conditionalFormatting>
        <x14:conditionalFormatting xmlns:xm="http://schemas.microsoft.com/office/excel/2006/main">
          <x14:cfRule type="iconSet" priority="2" id="{7B415728-3D72-DC4F-B57E-F4DBC0874544}">
            <x14:iconSet iconSet="3Stars" showValue="0" custom="1">
              <x14:cfvo type="percent">
                <xm:f>0</xm:f>
              </x14:cfvo>
              <x14:cfvo type="num">
                <xm:f>1</xm:f>
              </x14:cfvo>
              <x14:cfvo type="num">
                <xm:f>2</xm:f>
              </x14:cfvo>
              <x14:cfIcon iconSet="NoIcons" iconId="0"/>
              <x14:cfIcon iconSet="3Flags" iconId="1"/>
              <x14:cfIcon iconSet="3Signs" iconId="0"/>
            </x14:iconSet>
          </x14:cfRule>
          <xm:sqref>I14:BL14</xm:sqref>
        </x14:conditionalFormatting>
        <x14:conditionalFormatting xmlns:xm="http://schemas.microsoft.com/office/excel/2006/main">
          <x14:cfRule type="iconSet" priority="63" id="{39412BF5-D1E8-4731-95F6-6B0C252D35F8}">
            <x14:iconSet iconSet="3Stars" showValue="0" custom="1">
              <x14:cfvo type="percent">
                <xm:f>0</xm:f>
              </x14:cfvo>
              <x14:cfvo type="num">
                <xm:f>1</xm:f>
              </x14:cfvo>
              <x14:cfvo type="num">
                <xm:f>2</xm:f>
              </x14:cfvo>
              <x14:cfIcon iconSet="NoIcons" iconId="0"/>
              <x14:cfIcon iconSet="3Flags" iconId="1"/>
              <x14:cfIcon iconSet="3Signs" iconId="0"/>
            </x14:iconSet>
          </x14:cfRule>
          <xm:sqref>I25:BL25</xm:sqref>
        </x14:conditionalFormatting>
        <x14:conditionalFormatting xmlns:xm="http://schemas.microsoft.com/office/excel/2006/main">
          <x14:cfRule type="iconSet" priority="87" id="{39412BF5-D1E8-4731-95F6-6B0C252D35F8}">
            <x14:iconSet iconSet="3Stars" showValue="0" custom="1">
              <x14:cfvo type="percent">
                <xm:f>0</xm:f>
              </x14:cfvo>
              <x14:cfvo type="num">
                <xm:f>1</xm:f>
              </x14:cfvo>
              <x14:cfvo type="num">
                <xm:f>2</xm:f>
              </x14:cfvo>
              <x14:cfIcon iconSet="NoIcons" iconId="0"/>
              <x14:cfIcon iconSet="3Flags" iconId="1"/>
              <x14:cfIcon iconSet="3Signs" iconId="0"/>
            </x14:iconSet>
          </x14:cfRule>
          <xm:sqref>I26:BL26</xm:sqref>
        </x14:conditionalFormatting>
        <x14:conditionalFormatting xmlns:xm="http://schemas.microsoft.com/office/excel/2006/main">
          <x14:cfRule type="iconSet" priority="101" id="{39412BF5-D1E8-4731-95F6-6B0C252D35F8}">
            <x14:iconSet iconSet="3Stars" showValue="0" custom="1">
              <x14:cfvo type="percent">
                <xm:f>0</xm:f>
              </x14:cfvo>
              <x14:cfvo type="num">
                <xm:f>1</xm:f>
              </x14:cfvo>
              <x14:cfvo type="num">
                <xm:f>2</xm:f>
              </x14:cfvo>
              <x14:cfIcon iconSet="NoIcons" iconId="0"/>
              <x14:cfIcon iconSet="3Flags" iconId="1"/>
              <x14:cfIcon iconSet="3Signs" iconId="0"/>
            </x14:iconSet>
          </x14:cfRule>
          <xm:sqref>I27:BL27</xm:sqref>
        </x14:conditionalFormatting>
        <x14:conditionalFormatting xmlns:xm="http://schemas.microsoft.com/office/excel/2006/main">
          <x14:cfRule type="iconSet" priority="115" id="{39412BF5-D1E8-4731-95F6-6B0C252D35F8}">
            <x14:iconSet iconSet="3Stars" showValue="0" custom="1">
              <x14:cfvo type="percent">
                <xm:f>0</xm:f>
              </x14:cfvo>
              <x14:cfvo type="num">
                <xm:f>1</xm:f>
              </x14:cfvo>
              <x14:cfvo type="num">
                <xm:f>2</xm:f>
              </x14:cfvo>
              <x14:cfIcon iconSet="NoIcons" iconId="0"/>
              <x14:cfIcon iconSet="3Flags" iconId="1"/>
              <x14:cfIcon iconSet="3Signs" iconId="0"/>
            </x14:iconSet>
          </x14:cfRule>
          <xm:sqref>I28:BL28</xm:sqref>
        </x14:conditionalFormatting>
        <x14:conditionalFormatting xmlns:xm="http://schemas.microsoft.com/office/excel/2006/main">
          <x14:cfRule type="iconSet" priority="121" id="{39412BF5-D1E8-4731-95F6-6B0C252D35F8}">
            <x14:iconSet iconSet="3Stars" showValue="0" custom="1">
              <x14:cfvo type="percent">
                <xm:f>0</xm:f>
              </x14:cfvo>
              <x14:cfvo type="num">
                <xm:f>1</xm:f>
              </x14:cfvo>
              <x14:cfvo type="num">
                <xm:f>2</xm:f>
              </x14:cfvo>
              <x14:cfIcon iconSet="NoIcons" iconId="0"/>
              <x14:cfIcon iconSet="3Flags" iconId="1"/>
              <x14:cfIcon iconSet="3Signs" iconId="0"/>
            </x14:iconSet>
          </x14:cfRule>
          <xm:sqref>I29:BL47</xm:sqref>
        </x14:conditionalFormatting>
        <x14:conditionalFormatting xmlns:xm="http://schemas.microsoft.com/office/excel/2006/main">
          <x14:cfRule type="iconSet" priority="19" id="{A1EFF969-3CBB-4DB2-A4C9-47B01FE32C86}">
            <x14:iconSet iconSet="3Stars" showValue="0" custom="1">
              <x14:cfvo type="percent">
                <xm:f>0</xm:f>
              </x14:cfvo>
              <x14:cfvo type="num">
                <xm:f>1</xm:f>
              </x14:cfvo>
              <x14:cfvo type="num">
                <xm:f>2</xm:f>
              </x14:cfvo>
              <x14:cfIcon iconSet="NoIcons" iconId="0"/>
              <x14:cfIcon iconSet="3Flags" iconId="1"/>
              <x14:cfIcon iconSet="3Signs" iconId="0"/>
            </x14:iconSet>
          </x14:cfRule>
          <xm:sqref>I48:BL48</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6" ma:contentTypeDescription="Create a new document." ma:contentTypeScope="" ma:versionID="ac37c1753acd5e330d2062ccec26ea66">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3b340c7101c92c5120abd06486f94548"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Background xmlns="71af3243-3dd4-4a8d-8c0d-dd76da1f02a5">false</Background>
    <Status xmlns="71af3243-3dd4-4a8d-8c0d-dd76da1f02a5">Not started</Status>
    <_ip_UnifiedCompliancePolicyUIAction xmlns="http://schemas.microsoft.com/sharepoint/v3" xsi:nil="true"/>
    <Image xmlns="71af3243-3dd4-4a8d-8c0d-dd76da1f02a5">
      <Url xsi:nil="true"/>
      <Description xsi:nil="true"/>
    </Image>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Props1.xml><?xml version="1.0" encoding="utf-8"?>
<ds:datastoreItem xmlns:ds="http://schemas.openxmlformats.org/officeDocument/2006/customXml" ds:itemID="{78CDF409-87B8-4BD3-A7A0-FA31B09DB51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6A2ABA2-2AE7-458F-84A6-54746C92ACFB}">
  <ds:schemaRefs>
    <ds:schemaRef ds:uri="http://schemas.microsoft.com/sharepoint/v3/contenttype/forms"/>
  </ds:schemaRefs>
</ds:datastoreItem>
</file>

<file path=customXml/itemProps3.xml><?xml version="1.0" encoding="utf-8"?>
<ds:datastoreItem xmlns:ds="http://schemas.openxmlformats.org/officeDocument/2006/customXml" ds:itemID="{2D0FD509-FAA6-490F-8E99-57602ADB216E}">
  <ds:schemaRefs>
    <ds:schemaRef ds:uri="http://schemas.microsoft.com/office/2006/metadata/properties"/>
    <ds:schemaRef ds:uri="http://schemas.microsoft.com/office/infopath/2007/PartnerControls"/>
    <ds:schemaRef ds:uri="71af3243-3dd4-4a8d-8c0d-dd76da1f02a5"/>
    <ds:schemaRef ds:uri="http://schemas.microsoft.com/sharepoint/v3"/>
    <ds:schemaRef ds:uri="230e9df3-be65-4c73-a93b-d1236ebd677e"/>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TM55723235</Template>
  <Application>Microsoft Macintosh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Light</vt:lpstr>
      <vt:lpstr>Light!Print_Titles</vt:lpstr>
      <vt:lpstr>Light!Project_Start</vt:lpstr>
      <vt:lpstr>Light!Scrolling_Increment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
  <dcterms:created xsi:type="dcterms:W3CDTF">2023-01-31T06:46:07Z</dcterms:created>
  <dcterms:modified xsi:type="dcterms:W3CDTF">2026-02-11T22:23:06Z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